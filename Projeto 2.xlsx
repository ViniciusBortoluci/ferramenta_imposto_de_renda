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D:\Curso DIO\Bootcamp Dado om Excel e IA\Desafio 2\"/>
    </mc:Choice>
  </mc:AlternateContent>
  <xr:revisionPtr revIDLastSave="0" documentId="13_ncr:1_{B9BE3740-36D4-40AF-AA73-342913187A60}" xr6:coauthVersionLast="47" xr6:coauthVersionMax="47" xr10:uidLastSave="{00000000-0000-0000-0000-000000000000}"/>
  <bookViews>
    <workbookView xWindow="28680" yWindow="-120" windowWidth="20730" windowHeight="11040" activeTab="3" xr2:uid="{3AF958B6-5E78-4E21-B6CF-B55C8834CDB6}"/>
  </bookViews>
  <sheets>
    <sheet name="Titular" sheetId="1" r:id="rId1"/>
    <sheet name="Informes" sheetId="9" r:id="rId2"/>
    <sheet name="Notas" sheetId="10" r:id="rId3"/>
    <sheet name="DASHBOARD" sheetId="11" r:id="rId4"/>
    <sheet name="Bancos" sheetId="8" r:id="rId5"/>
  </sheets>
  <definedNames>
    <definedName name="codigo_bancos" localSheetId="1">Planilha2__2[bancos]</definedName>
    <definedName name="codigo_bancos">Planilha2__2[bancos]</definedName>
    <definedName name="DadosExternos_2" localSheetId="4" hidden="1">Bancos!$A$1:$A$51</definedName>
    <definedName name="Entradas">Notas!$C$8:$E$36</definedName>
  </definedNames>
  <calcPr calcId="191029"/>
  <pivotCaches>
    <pivotCache cacheId="9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9" l="1"/>
  <c r="C31" i="11"/>
  <c r="G13" i="10"/>
  <c r="G14" i="10"/>
  <c r="G12" i="10"/>
  <c r="G11" i="10"/>
  <c r="G10" i="10"/>
  <c r="G9" i="10"/>
</calcChain>
</file>

<file path=xl/sharedStrings.xml><?xml version="1.0" encoding="utf-8"?>
<sst xmlns="http://schemas.openxmlformats.org/spreadsheetml/2006/main" count="124" uniqueCount="96">
  <si>
    <t>NOME</t>
  </si>
  <si>
    <t>CPF</t>
  </si>
  <si>
    <t>NASCIMENTO</t>
  </si>
  <si>
    <t>TÍTULO DE ELEITOR</t>
  </si>
  <si>
    <t>CÔNJUGE</t>
  </si>
  <si>
    <t>RUA ABREVIADA</t>
  </si>
  <si>
    <t>CEP</t>
  </si>
  <si>
    <t>CELULAR</t>
  </si>
  <si>
    <t>E-MAIL</t>
  </si>
  <si>
    <t>HOUVE ALTERAÇÕES DA ENTREGA ANTERIOR</t>
  </si>
  <si>
    <t>DEPENDENTE</t>
  </si>
  <si>
    <t>RESIDENTE NO EXTERIOR</t>
  </si>
  <si>
    <t>1. DADOS DO TITULAR</t>
  </si>
  <si>
    <t>Preencha seus dados de pessoa física abaixo</t>
  </si>
  <si>
    <t>SIM</t>
  </si>
  <si>
    <t>NÃO</t>
  </si>
  <si>
    <t xml:space="preserve">1234 1234 1324 </t>
  </si>
  <si>
    <t>emailteste@teste.com</t>
  </si>
  <si>
    <t>2. INFORMES DE RENDIMENTOS BANCÁRIOS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</si>
  <si>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</si>
  <si>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</si>
  <si>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</si>
  <si>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</si>
  <si>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</si>
  <si>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</si>
  <si>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</si>
  <si>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</si>
  <si>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</si>
  <si>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</si>
  <si>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</si>
  <si>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</si>
  <si>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</si>
  <si>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</si>
  <si>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</si>
  <si>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</si>
  <si>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</si>
  <si>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</si>
  <si>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</si>
  <si>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</si>
  <si>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</si>
  <si>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</si>
  <si>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</si>
  <si>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</si>
  <si>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</si>
  <si>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</si>
  <si>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</si>
  <si>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</si>
  <si>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</si>
  <si>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</si>
  <si>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</si>
  <si>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</si>
  <si>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</si>
  <si>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</si>
  <si>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</si>
  <si>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</si>
  <si>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</si>
  <si>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</si>
  <si>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</si>
  <si>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</si>
  <si>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</si>
  <si>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</si>
  <si>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</si>
  <si>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</si>
  <si>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</si>
  <si>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</si>
  <si>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</si>
  <si>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</si>
  <si>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</si>
  <si>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</si>
  <si>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</si>
  <si>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</si>
  <si>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</si>
  <si>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</si>
  <si>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Preencha com seus dados atuais de cada bando</t>
  </si>
  <si>
    <t>1° Banco</t>
  </si>
  <si>
    <t>2° Banco</t>
  </si>
  <si>
    <t>3° Banco</t>
  </si>
  <si>
    <t>4° Banco</t>
  </si>
  <si>
    <t>5° Banco</t>
  </si>
  <si>
    <t>3. NOTAS BANCÁRIAS OU EXTRATO DE HOLERITES</t>
  </si>
  <si>
    <t>São todos os valores de entrada mês a  mês de receita</t>
  </si>
  <si>
    <t>CATEGORIA</t>
  </si>
  <si>
    <t>VALOR</t>
  </si>
  <si>
    <t>DATA</t>
  </si>
  <si>
    <t>ENTRADAS</t>
  </si>
  <si>
    <t>Testolino Testes</t>
  </si>
  <si>
    <t>TELEFONE</t>
  </si>
  <si>
    <t xml:space="preserve">       SYSTEM BY VINICIUS  </t>
  </si>
  <si>
    <t>CNPJ</t>
  </si>
  <si>
    <t>FREELANCE</t>
  </si>
  <si>
    <t>HOLERITE</t>
  </si>
  <si>
    <t>Rótulos de Linha</t>
  </si>
  <si>
    <t>Total Geral</t>
  </si>
  <si>
    <t>Contagem de CATEGORIA2</t>
  </si>
  <si>
    <t xml:space="preserve"> SYSTEM BY VINICIUS  </t>
  </si>
  <si>
    <t>TOTAL DE 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</si>
</sst>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00&quot;.&quot;000&quot;.&quot;000&quot;-&quot;00"/>
    <numFmt numFmtId="165" formatCode="00&quot;.&quot;000&quot;-&quot;000"/>
    <numFmt numFmtId="166" formatCode="\(00\)00000&quot;-&quot;0000"/>
    <numFmt numFmtId="167" formatCode="&quot;R$&quot;\ #,##0.00"/>
  </numFmts>
  <fonts count="1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Verdana"/>
      <family val="2"/>
    </font>
    <font>
      <sz val="11"/>
      <color rgb="FFEFB810"/>
      <name val="Aptos Narrow"/>
      <family val="2"/>
      <scheme val="minor"/>
    </font>
    <font>
      <i/>
      <sz val="10"/>
      <color rgb="FF664300"/>
      <name val="Aptos Narrow"/>
      <family val="2"/>
      <scheme val="minor"/>
    </font>
    <font>
      <b/>
      <sz val="11"/>
      <color rgb="FFA87B05"/>
      <name val="Verdana"/>
      <family val="2"/>
    </font>
    <font>
      <sz val="11"/>
      <color rgb="FFA87B05"/>
      <name val="Verdana"/>
      <family val="2"/>
    </font>
    <font>
      <sz val="11"/>
      <color rgb="FFA87B05"/>
      <name val="Aptos Narrow"/>
      <family val="2"/>
      <scheme val="minor"/>
    </font>
    <font>
      <b/>
      <sz val="11"/>
      <color rgb="FFEFB810"/>
      <name val="Verdana"/>
      <family val="2"/>
    </font>
    <font>
      <b/>
      <sz val="11"/>
      <color theme="1"/>
      <name val="Aptos Narrow"/>
      <family val="2"/>
      <scheme val="minor"/>
    </font>
    <font>
      <sz val="11"/>
      <color rgb="FF0E1317"/>
      <name val="Aptos Narrow"/>
      <family val="2"/>
      <scheme val="minor"/>
    </font>
    <font>
      <sz val="16"/>
      <color rgb="FFA87B05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FB810"/>
        <bgColor indexed="64"/>
      </patternFill>
    </fill>
    <fill>
      <patternFill patternType="solid">
        <fgColor rgb="FFEFECE1"/>
        <bgColor indexed="64"/>
      </patternFill>
    </fill>
    <fill>
      <patternFill patternType="solid">
        <fgColor rgb="FFE8E2CE"/>
        <bgColor indexed="64"/>
      </patternFill>
    </fill>
    <fill>
      <patternFill patternType="solid">
        <fgColor rgb="FFA87B05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/>
      <bottom style="thick">
        <color rgb="FFEFB810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ck">
        <color rgb="FFEFB810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2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indent="1"/>
    </xf>
    <xf numFmtId="166" fontId="0" fillId="3" borderId="0" xfId="0" applyNumberFormat="1" applyFill="1" applyAlignment="1">
      <alignment horizontal="left" indent="1"/>
    </xf>
    <xf numFmtId="0" fontId="2" fillId="3" borderId="1" xfId="0" applyFont="1" applyFill="1" applyBorder="1" applyAlignment="1">
      <alignment horizontal="right" indent="1"/>
    </xf>
    <xf numFmtId="0" fontId="2" fillId="3" borderId="3" xfId="0" applyFont="1" applyFill="1" applyBorder="1" applyAlignment="1">
      <alignment horizontal="right" indent="1"/>
    </xf>
    <xf numFmtId="0" fontId="2" fillId="3" borderId="5" xfId="0" applyFont="1" applyFill="1" applyBorder="1" applyAlignment="1">
      <alignment horizontal="right" indent="1"/>
    </xf>
    <xf numFmtId="0" fontId="3" fillId="6" borderId="0" xfId="0" applyFont="1" applyFill="1"/>
    <xf numFmtId="0" fontId="5" fillId="3" borderId="7" xfId="0" applyFont="1" applyFill="1" applyBorder="1"/>
    <xf numFmtId="0" fontId="0" fillId="3" borderId="7" xfId="0" applyFill="1" applyBorder="1"/>
    <xf numFmtId="0" fontId="2" fillId="3" borderId="0" xfId="0" applyFont="1" applyFill="1" applyAlignment="1">
      <alignment horizontal="right" indent="1"/>
    </xf>
    <xf numFmtId="0" fontId="2" fillId="3" borderId="8" xfId="0" applyFont="1" applyFill="1" applyBorder="1" applyAlignment="1">
      <alignment horizontal="right" indent="1"/>
    </xf>
    <xf numFmtId="0" fontId="0" fillId="5" borderId="8" xfId="0" applyFill="1" applyBorder="1" applyAlignment="1">
      <alignment horizontal="left" indent="1"/>
    </xf>
    <xf numFmtId="167" fontId="0" fillId="5" borderId="8" xfId="0" applyNumberFormat="1" applyFill="1" applyBorder="1" applyAlignment="1">
      <alignment horizontal="left" indent="1"/>
    </xf>
    <xf numFmtId="14" fontId="0" fillId="5" borderId="8" xfId="0" applyNumberFormat="1" applyFill="1" applyBorder="1" applyAlignment="1">
      <alignment horizontal="left" indent="1"/>
    </xf>
    <xf numFmtId="0" fontId="4" fillId="6" borderId="0" xfId="0" applyFont="1" applyFill="1" applyAlignment="1">
      <alignment horizontal="left" indent="2"/>
    </xf>
    <xf numFmtId="0" fontId="4" fillId="6" borderId="9" xfId="0" applyFont="1" applyFill="1" applyBorder="1" applyAlignment="1">
      <alignment horizontal="left" indent="2"/>
    </xf>
    <xf numFmtId="0" fontId="3" fillId="6" borderId="9" xfId="0" applyFont="1" applyFill="1" applyBorder="1"/>
    <xf numFmtId="0" fontId="0" fillId="6" borderId="9" xfId="0" applyFill="1" applyBorder="1"/>
    <xf numFmtId="0" fontId="8" fillId="7" borderId="0" xfId="0" applyFont="1" applyFill="1" applyAlignment="1">
      <alignment horizontal="center"/>
    </xf>
    <xf numFmtId="0" fontId="7" fillId="4" borderId="0" xfId="0" applyFont="1" applyFill="1" applyAlignment="1">
      <alignment horizontal="centerContinuous"/>
    </xf>
    <xf numFmtId="0" fontId="6" fillId="4" borderId="0" xfId="0" applyFont="1" applyFill="1" applyAlignment="1">
      <alignment horizontal="centerContinuous"/>
    </xf>
    <xf numFmtId="0" fontId="5" fillId="4" borderId="0" xfId="0" applyFont="1" applyFill="1" applyAlignment="1">
      <alignment horizontal="centerContinuous"/>
    </xf>
    <xf numFmtId="164" fontId="0" fillId="5" borderId="0" xfId="0" applyNumberFormat="1" applyFill="1" applyAlignment="1">
      <alignment horizontal="left" indent="1"/>
    </xf>
    <xf numFmtId="0" fontId="0" fillId="5" borderId="2" xfId="0" applyFill="1" applyBorder="1" applyAlignment="1">
      <alignment horizontal="left" indent="1"/>
    </xf>
    <xf numFmtId="164" fontId="0" fillId="5" borderId="4" xfId="0" applyNumberFormat="1" applyFill="1" applyBorder="1" applyAlignment="1">
      <alignment horizontal="left" indent="1"/>
    </xf>
    <xf numFmtId="14" fontId="0" fillId="5" borderId="4" xfId="0" applyNumberFormat="1" applyFill="1" applyBorder="1" applyAlignment="1">
      <alignment horizontal="left" indent="1"/>
    </xf>
    <xf numFmtId="0" fontId="0" fillId="5" borderId="4" xfId="0" applyFill="1" applyBorder="1" applyAlignment="1">
      <alignment horizontal="left" indent="1"/>
    </xf>
    <xf numFmtId="165" fontId="0" fillId="5" borderId="4" xfId="0" applyNumberFormat="1" applyFill="1" applyBorder="1" applyAlignment="1">
      <alignment horizontal="left" indent="1"/>
    </xf>
    <xf numFmtId="166" fontId="0" fillId="5" borderId="4" xfId="0" applyNumberFormat="1" applyFill="1" applyBorder="1" applyAlignment="1">
      <alignment horizontal="left" indent="1"/>
    </xf>
    <xf numFmtId="0" fontId="0" fillId="5" borderId="4" xfId="0" applyFill="1" applyBorder="1"/>
    <xf numFmtId="0" fontId="0" fillId="5" borderId="6" xfId="0" applyFill="1" applyBorder="1" applyAlignment="1">
      <alignment horizontal="left" indent="1"/>
    </xf>
    <xf numFmtId="14" fontId="2" fillId="5" borderId="0" xfId="0" applyNumberFormat="1" applyFont="1" applyFill="1" applyAlignment="1">
      <alignment horizontal="right" indent="1"/>
    </xf>
    <xf numFmtId="14" fontId="0" fillId="5" borderId="0" xfId="0" applyNumberFormat="1" applyFill="1"/>
    <xf numFmtId="167" fontId="0" fillId="5" borderId="0" xfId="0" applyNumberFormat="1" applyFill="1"/>
    <xf numFmtId="0" fontId="0" fillId="5" borderId="0" xfId="0" applyFill="1"/>
    <xf numFmtId="0" fontId="0" fillId="3" borderId="0" xfId="0" applyFill="1" applyAlignment="1">
      <alignment horizontal="left"/>
    </xf>
    <xf numFmtId="0" fontId="0" fillId="3" borderId="0" xfId="0" applyNumberFormat="1" applyFill="1"/>
    <xf numFmtId="0" fontId="7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0" fillId="2" borderId="0" xfId="0" applyFont="1" applyFill="1"/>
    <xf numFmtId="167" fontId="12" fillId="3" borderId="0" xfId="0" applyNumberFormat="1" applyFont="1" applyFill="1"/>
    <xf numFmtId="0" fontId="12" fillId="3" borderId="0" xfId="0" applyFont="1" applyFill="1"/>
    <xf numFmtId="14" fontId="12" fillId="3" borderId="0" xfId="0" applyNumberFormat="1" applyFont="1" applyFill="1"/>
    <xf numFmtId="0" fontId="0" fillId="2" borderId="0" xfId="0" applyFill="1" applyBorder="1"/>
    <xf numFmtId="0" fontId="0" fillId="3" borderId="0" xfId="0" applyFill="1" applyBorder="1"/>
    <xf numFmtId="0" fontId="0" fillId="0" borderId="0" xfId="0" applyBorder="1"/>
    <xf numFmtId="0" fontId="13" fillId="3" borderId="0" xfId="0" applyFont="1" applyFill="1"/>
    <xf numFmtId="0" fontId="9" fillId="6" borderId="0" xfId="0" applyFont="1" applyFill="1" applyAlignment="1">
      <alignment horizontal="left" indent="1"/>
    </xf>
    <xf numFmtId="167" fontId="9" fillId="6" borderId="0" xfId="0" applyNumberFormat="1" applyFont="1" applyFill="1" applyAlignment="1">
      <alignment horizontal="left" indent="1"/>
    </xf>
  </cellXfs>
  <cellStyles count="1">
    <cellStyle name="Normal" xfId="0" builtinId="0"/>
  </cellStyles>
  <dxfs count="25"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67" formatCode="&quot;R$&quot;\ #,##0.00"/>
      <fill>
        <patternFill patternType="solid">
          <fgColor indexed="64"/>
          <bgColor rgb="FFEFECE1"/>
        </patternFill>
      </fill>
    </dxf>
    <dxf>
      <fill>
        <patternFill patternType="solid">
          <fgColor indexed="64"/>
          <bgColor rgb="FFEFECE1"/>
        </patternFill>
      </fill>
    </dxf>
    <dxf>
      <numFmt numFmtId="19" formatCode="dd/mm/yyyy"/>
      <fill>
        <patternFill patternType="solid">
          <fgColor indexed="64"/>
          <bgColor rgb="FFEFECE1"/>
        </patternFill>
      </fill>
    </dxf>
    <dxf>
      <fill>
        <patternFill patternType="solid">
          <fgColor indexed="64"/>
          <bgColor rgb="FFEFECE1"/>
        </patternFill>
      </fill>
    </dxf>
    <dxf>
      <font>
        <b/>
        <strike val="0"/>
        <outline val="0"/>
        <shadow val="0"/>
        <u val="none"/>
        <vertAlign val="baseline"/>
        <sz val="11"/>
        <color rgb="FFEFB810"/>
      </font>
      <fill>
        <patternFill patternType="solid">
          <fgColor indexed="64"/>
          <bgColor rgb="FFA87B05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fill>
        <patternFill>
          <bgColor rgb="FFFFC000"/>
        </patternFill>
      </fill>
    </dxf>
  </dxfs>
  <tableStyles count="1" defaultTableStyle="TableStyleMedium2" defaultPivotStyle="PivotStyleLight16">
    <tableStyle name="Estilo de Tabela 1" pivot="0" count="1" xr9:uid="{E44E07D5-F10B-4744-B8DF-717ED26DAED9}">
      <tableStyleElement type="wholeTable" dxfId="24"/>
    </tableStyle>
  </tableStyles>
  <colors>
    <mruColors>
      <color rgb="FFEFECE1"/>
      <color rgb="FFE8E2CE"/>
      <color rgb="FFEFB810"/>
      <color rgb="FF664300"/>
      <color rgb="FFA87B05"/>
      <color rgb="FF0E1317"/>
      <color rgb="FFFFFF94"/>
      <color rgb="FFF2CFEE"/>
      <color rgb="FF7E1BB5"/>
      <color rgb="FFD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rgbClr val="A87B05"/>
                </a:solidFill>
                <a:latin typeface="+mn-lt"/>
                <a:ea typeface="+mn-ea"/>
                <a:cs typeface="+mn-cs"/>
              </a:defRPr>
            </a:pPr>
            <a:r>
              <a:rPr lang="pt-BR" sz="1200" b="0" i="0">
                <a:effectLst/>
                <a:latin typeface="Verdana" panose="020B0604030504040204" pitchFamily="34" charset="0"/>
                <a:ea typeface="Verdana" panose="020B0604030504040204" pitchFamily="34" charset="0"/>
              </a:rPr>
              <a:t>COMO AS RECEITAS</a:t>
            </a:r>
            <a:r>
              <a:rPr lang="pt-BR" sz="1200" b="0" i="0" baseline="0">
                <a:effectLst/>
                <a:latin typeface="Verdana" panose="020B0604030504040204" pitchFamily="34" charset="0"/>
                <a:ea typeface="Verdana" panose="020B0604030504040204" pitchFamily="34" charset="0"/>
              </a:rPr>
              <a:t> EVELOÍRAM NOS ULTIMOS DIAS</a:t>
            </a:r>
            <a:endParaRPr lang="pt-BR" sz="1200" b="0" i="0">
              <a:effectLst/>
              <a:latin typeface="Verdana" panose="020B0604030504040204" pitchFamily="34" charset="0"/>
              <a:ea typeface="Verdana" panose="020B060403050404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A87B05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180293501048218E-2"/>
          <c:y val="0.16708333333333336"/>
          <c:w val="0.96310272536687636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v>Valores</c:v>
          </c:tx>
          <c:spPr>
            <a:ln w="28575" cap="rnd">
              <a:solidFill>
                <a:srgbClr val="A87B05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6.3563941299790358E-2"/>
                  <c:y val="-4.41896325459318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113-42AA-8937-FD718F01E6DB}"/>
                </c:ext>
              </c:extLst>
            </c:dLbl>
            <c:dLbl>
              <c:idx val="5"/>
              <c:layout>
                <c:manualLayout>
                  <c:x val="-5.8532494758909856E-2"/>
                  <c:y val="-0.1275229658792651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113-42AA-8937-FD718F01E6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6643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Notas!$C$9:$C$31</c:f>
              <c:numCache>
                <c:formatCode>m/d/yyyy</c:formatCode>
                <c:ptCount val="23"/>
                <c:pt idx="0">
                  <c:v>46307</c:v>
                </c:pt>
                <c:pt idx="1">
                  <c:v>46308</c:v>
                </c:pt>
                <c:pt idx="2">
                  <c:v>46310</c:v>
                </c:pt>
                <c:pt idx="3">
                  <c:v>46312</c:v>
                </c:pt>
                <c:pt idx="4">
                  <c:v>46315</c:v>
                </c:pt>
                <c:pt idx="5">
                  <c:v>46316</c:v>
                </c:pt>
                <c:pt idx="6">
                  <c:v>46317</c:v>
                </c:pt>
                <c:pt idx="7">
                  <c:v>46318</c:v>
                </c:pt>
              </c:numCache>
            </c:numRef>
          </c:cat>
          <c:val>
            <c:numRef>
              <c:f>Notas!$E$9:$E$31</c:f>
              <c:numCache>
                <c:formatCode>"R$"\ #,##0.00</c:formatCode>
                <c:ptCount val="23"/>
                <c:pt idx="0">
                  <c:v>3500</c:v>
                </c:pt>
                <c:pt idx="1">
                  <c:v>5000</c:v>
                </c:pt>
                <c:pt idx="2">
                  <c:v>270</c:v>
                </c:pt>
                <c:pt idx="3">
                  <c:v>1420</c:v>
                </c:pt>
                <c:pt idx="4">
                  <c:v>790</c:v>
                </c:pt>
                <c:pt idx="5">
                  <c:v>890</c:v>
                </c:pt>
                <c:pt idx="6">
                  <c:v>4000</c:v>
                </c:pt>
                <c:pt idx="7">
                  <c:v>2100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13-42AA-8937-FD718F01E6D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66558784"/>
        <c:axId val="1177398448"/>
      </c:lineChart>
      <c:dateAx>
        <c:axId val="96655878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A87B05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7398448"/>
        <c:crosses val="autoZero"/>
        <c:auto val="0"/>
        <c:lblOffset val="100"/>
        <c:baseTimeUnit val="days"/>
      </c:dateAx>
      <c:valAx>
        <c:axId val="1177398448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966558784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rgbClr val="E8E2CE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2.xlsx]DASHBOARD!Tabela dinâmica1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A87B05"/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solidFill>
                  <a:srgbClr val="A87B05"/>
                </a:solidFill>
              </a:rPr>
              <a:t>SERVIÇOS COM MAIS ENTRADAS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A87B05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A87B0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rgbClr val="6643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87B0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rgbClr val="6643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87B0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6643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DASHBOARD!$C$26:$C$29</c:f>
              <c:strCache>
                <c:ptCount val="3"/>
                <c:pt idx="0">
                  <c:v>CNPJ</c:v>
                </c:pt>
                <c:pt idx="1">
                  <c:v>FREELANCE</c:v>
                </c:pt>
                <c:pt idx="2">
                  <c:v>HOLERITE</c:v>
                </c:pt>
              </c:strCache>
            </c:strRef>
          </c:cat>
          <c:val>
            <c:numRef>
              <c:f>DASHBOARD!$D$26:$D$29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6-4A74-9F68-2F9A266C14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185335232"/>
        <c:axId val="1177434448"/>
      </c:barChart>
      <c:catAx>
        <c:axId val="118533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A87B05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7434448"/>
        <c:crosses val="autoZero"/>
        <c:auto val="1"/>
        <c:lblAlgn val="ctr"/>
        <c:lblOffset val="100"/>
        <c:noMultiLvlLbl val="0"/>
      </c:catAx>
      <c:valAx>
        <c:axId val="1177434448"/>
        <c:scaling>
          <c:orientation val="minMax"/>
          <c:max val="5"/>
        </c:scaling>
        <c:delete val="1"/>
        <c:axPos val="l"/>
        <c:numFmt formatCode="General" sourceLinked="1"/>
        <c:majorTickMark val="none"/>
        <c:minorTickMark val="none"/>
        <c:tickLblPos val="nextTo"/>
        <c:crossAx val="11853352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8E2CE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Notas!A1"/><Relationship Id="rId7" Type="http://schemas.openxmlformats.org/officeDocument/2006/relationships/image" Target="../media/image2.png"/><Relationship Id="rId2" Type="http://schemas.openxmlformats.org/officeDocument/2006/relationships/hyperlink" Target="#Informes!A1"/><Relationship Id="rId1" Type="http://schemas.openxmlformats.org/officeDocument/2006/relationships/hyperlink" Target="#Titular!A1"/><Relationship Id="rId6" Type="http://schemas.openxmlformats.org/officeDocument/2006/relationships/hyperlink" Target="https://github.com/ViniciusBortoluci/ViniciusBortoluci" TargetMode="External"/><Relationship Id="rId11" Type="http://schemas.openxmlformats.org/officeDocument/2006/relationships/hyperlink" Target="#DASHBOARD!A1"/><Relationship Id="rId5" Type="http://schemas.openxmlformats.org/officeDocument/2006/relationships/image" Target="../media/image1.png"/><Relationship Id="rId10" Type="http://schemas.openxmlformats.org/officeDocument/2006/relationships/image" Target="../media/image5.svg"/><Relationship Id="rId4" Type="http://schemas.openxmlformats.org/officeDocument/2006/relationships/hyperlink" Target="http://www.linkedin.com/in/viniciusbortoluci" TargetMode="External"/><Relationship Id="rId9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http://www.linkedin.com/in/viniciusbortoluci" TargetMode="External"/><Relationship Id="rId7" Type="http://schemas.openxmlformats.org/officeDocument/2006/relationships/image" Target="../media/image3.png"/><Relationship Id="rId2" Type="http://schemas.openxmlformats.org/officeDocument/2006/relationships/hyperlink" Target="#Notas!A1"/><Relationship Id="rId1" Type="http://schemas.openxmlformats.org/officeDocument/2006/relationships/hyperlink" Target="#Informes!A1"/><Relationship Id="rId6" Type="http://schemas.openxmlformats.org/officeDocument/2006/relationships/image" Target="../media/image2.png"/><Relationship Id="rId11" Type="http://schemas.openxmlformats.org/officeDocument/2006/relationships/hyperlink" Target="#DASHBOARD!A1"/><Relationship Id="rId5" Type="http://schemas.openxmlformats.org/officeDocument/2006/relationships/hyperlink" Target="https://github.com/ViniciusBortoluci/ViniciusBortoluci" TargetMode="External"/><Relationship Id="rId10" Type="http://schemas.openxmlformats.org/officeDocument/2006/relationships/hyperlink" Target="#Titular!A1"/><Relationship Id="rId4" Type="http://schemas.openxmlformats.org/officeDocument/2006/relationships/image" Target="../media/image1.png"/><Relationship Id="rId9" Type="http://schemas.openxmlformats.org/officeDocument/2006/relationships/image" Target="../media/image5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Notas!A1"/><Relationship Id="rId7" Type="http://schemas.openxmlformats.org/officeDocument/2006/relationships/image" Target="../media/image2.png"/><Relationship Id="rId12" Type="http://schemas.openxmlformats.org/officeDocument/2006/relationships/hyperlink" Target="#Planilha1!A1"/><Relationship Id="rId2" Type="http://schemas.openxmlformats.org/officeDocument/2006/relationships/hyperlink" Target="#Informes!A1"/><Relationship Id="rId1" Type="http://schemas.openxmlformats.org/officeDocument/2006/relationships/hyperlink" Target="#Titular!A1"/><Relationship Id="rId6" Type="http://schemas.openxmlformats.org/officeDocument/2006/relationships/hyperlink" Target="https://github.com/ViniciusBortoluci/ViniciusBortoluci" TargetMode="External"/><Relationship Id="rId11" Type="http://schemas.openxmlformats.org/officeDocument/2006/relationships/hyperlink" Target="#DASHBOARD!A1"/><Relationship Id="rId5" Type="http://schemas.openxmlformats.org/officeDocument/2006/relationships/image" Target="../media/image1.png"/><Relationship Id="rId10" Type="http://schemas.openxmlformats.org/officeDocument/2006/relationships/image" Target="../media/image5.svg"/><Relationship Id="rId4" Type="http://schemas.openxmlformats.org/officeDocument/2006/relationships/hyperlink" Target="http://www.linkedin.com/in/viniciusbortoluci" TargetMode="External"/><Relationship Id="rId9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svg"/><Relationship Id="rId3" Type="http://schemas.openxmlformats.org/officeDocument/2006/relationships/hyperlink" Target="#Notas!A1"/><Relationship Id="rId7" Type="http://schemas.openxmlformats.org/officeDocument/2006/relationships/image" Target="../media/image8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hyperlink" Target="#Titular!A1"/><Relationship Id="rId5" Type="http://schemas.openxmlformats.org/officeDocument/2006/relationships/image" Target="../media/image7.sv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4</xdr:row>
      <xdr:rowOff>28575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FBC77597-E6F4-0202-456E-7F7682B4151C}"/>
            </a:ext>
          </a:extLst>
        </xdr:cNvPr>
        <xdr:cNvSpPr/>
      </xdr:nvSpPr>
      <xdr:spPr>
        <a:xfrm>
          <a:off x="0" y="0"/>
          <a:ext cx="2181225" cy="809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gradFill>
                <a:gsLst>
                  <a:gs pos="10000">
                    <a:srgbClr val="EFB810"/>
                  </a:gs>
                  <a:gs pos="50000">
                    <a:srgbClr val="A87B05"/>
                  </a:gs>
                  <a:gs pos="89000">
                    <a:srgbClr val="664300"/>
                  </a:gs>
                </a:gsLst>
                <a:lin ang="16200000" scaled="1"/>
              </a:gradFill>
              <a:latin typeface="Sagona" panose="020F0502020204030204" pitchFamily="2" charset="0"/>
            </a:rPr>
            <a:t>LION</a:t>
          </a:r>
          <a:r>
            <a:rPr lang="pt-BR" sz="1200" b="1">
              <a:gradFill>
                <a:gsLst>
                  <a:gs pos="10000">
                    <a:srgbClr val="EFB810"/>
                  </a:gs>
                  <a:gs pos="50000">
                    <a:srgbClr val="A87B05"/>
                  </a:gs>
                  <a:gs pos="89000">
                    <a:srgbClr val="664300"/>
                  </a:gs>
                </a:gsLst>
                <a:lin ang="16200000" scaled="1"/>
              </a:gradFill>
              <a:latin typeface="Sagona" panose="020F0502020204030204" pitchFamily="2" charset="0"/>
            </a:rPr>
            <a:t> </a:t>
          </a:r>
          <a:r>
            <a:rPr lang="pt-BR" sz="2800" b="1">
              <a:gradFill>
                <a:gsLst>
                  <a:gs pos="10000">
                    <a:srgbClr val="EFB810"/>
                  </a:gs>
                  <a:gs pos="50000">
                    <a:srgbClr val="A87B05"/>
                  </a:gs>
                  <a:gs pos="89000">
                    <a:srgbClr val="664300"/>
                  </a:gs>
                </a:gsLst>
                <a:lin ang="16200000" scaled="1"/>
              </a:gradFill>
              <a:latin typeface="Sagona" panose="020F0502020204030204" pitchFamily="2" charset="0"/>
            </a:rPr>
            <a:t>APP</a:t>
          </a:r>
          <a:endParaRPr lang="pt-BR" sz="1200" b="1">
            <a:gradFill>
              <a:gsLst>
                <a:gs pos="10000">
                  <a:srgbClr val="EFB810"/>
                </a:gs>
                <a:gs pos="50000">
                  <a:srgbClr val="A87B05"/>
                </a:gs>
                <a:gs pos="89000">
                  <a:srgbClr val="664300"/>
                </a:gs>
              </a:gsLst>
              <a:lin ang="16200000" scaled="1"/>
            </a:gradFill>
            <a:latin typeface="Sagona" panose="020F0502020204030204" pitchFamily="2" charset="0"/>
          </a:endParaRPr>
        </a:p>
      </xdr:txBody>
    </xdr:sp>
    <xdr:clientData/>
  </xdr:twoCellAnchor>
  <xdr:twoCellAnchor>
    <xdr:from>
      <xdr:col>0</xdr:col>
      <xdr:colOff>112424</xdr:colOff>
      <xdr:row>14</xdr:row>
      <xdr:rowOff>0</xdr:rowOff>
    </xdr:from>
    <xdr:to>
      <xdr:col>0</xdr:col>
      <xdr:colOff>2045999</xdr:colOff>
      <xdr:row>16</xdr:row>
      <xdr:rowOff>28575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1C6C39-B61D-1053-ADFC-8737B516B69E}"/>
            </a:ext>
          </a:extLst>
        </xdr:cNvPr>
        <xdr:cNvSpPr/>
      </xdr:nvSpPr>
      <xdr:spPr>
        <a:xfrm>
          <a:off x="112424" y="2686050"/>
          <a:ext cx="1933575" cy="409575"/>
        </a:xfrm>
        <a:prstGeom prst="roundRect">
          <a:avLst>
            <a:gd name="adj" fmla="val 50000"/>
          </a:avLst>
        </a:prstGeom>
        <a:gradFill>
          <a:gsLst>
            <a:gs pos="50000">
              <a:srgbClr val="A87B05"/>
            </a:gs>
            <a:gs pos="5000">
              <a:srgbClr val="664300"/>
            </a:gs>
            <a:gs pos="95000">
              <a:srgbClr val="664300"/>
            </a:gs>
          </a:gsLst>
          <a:lin ang="0" scaled="1"/>
        </a:gra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solidFill>
                <a:schemeClr val="bg1"/>
              </a:solidFill>
            </a:rPr>
            <a:t>TITULAR</a:t>
          </a:r>
          <a:endParaRPr lang="pt-BR" sz="1600" b="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112424</xdr:colOff>
      <xdr:row>16</xdr:row>
      <xdr:rowOff>177800</xdr:rowOff>
    </xdr:from>
    <xdr:to>
      <xdr:col>0</xdr:col>
      <xdr:colOff>2045999</xdr:colOff>
      <xdr:row>19</xdr:row>
      <xdr:rowOff>15875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90B706-D648-4319-93E6-FF26B909F6ED}"/>
            </a:ext>
          </a:extLst>
        </xdr:cNvPr>
        <xdr:cNvSpPr/>
      </xdr:nvSpPr>
      <xdr:spPr>
        <a:xfrm>
          <a:off x="112424" y="3244850"/>
          <a:ext cx="1933575" cy="409575"/>
        </a:xfrm>
        <a:prstGeom prst="roundRect">
          <a:avLst>
            <a:gd name="adj" fmla="val 50000"/>
          </a:avLst>
        </a:prstGeom>
        <a:noFill/>
        <a:ln cap="rnd">
          <a:noFill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solidFill>
                <a:schemeClr val="bg1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>
    <xdr:from>
      <xdr:col>0</xdr:col>
      <xdr:colOff>112424</xdr:colOff>
      <xdr:row>19</xdr:row>
      <xdr:rowOff>165100</xdr:rowOff>
    </xdr:from>
    <xdr:to>
      <xdr:col>0</xdr:col>
      <xdr:colOff>2045999</xdr:colOff>
      <xdr:row>22</xdr:row>
      <xdr:rowOff>3175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4EDE396-6D55-4FDF-BCFD-919A89805BA5}"/>
            </a:ext>
          </a:extLst>
        </xdr:cNvPr>
        <xdr:cNvSpPr/>
      </xdr:nvSpPr>
      <xdr:spPr>
        <a:xfrm>
          <a:off x="112424" y="3803650"/>
          <a:ext cx="1933575" cy="409575"/>
        </a:xfrm>
        <a:prstGeom prst="roundRect">
          <a:avLst>
            <a:gd name="adj" fmla="val 50000"/>
          </a:avLst>
        </a:prstGeom>
        <a:noFill/>
        <a:ln cap="rnd">
          <a:noFill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solidFill>
                <a:schemeClr val="bg1"/>
              </a:solidFill>
              <a:latin typeface="+mn-lt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252413</xdr:colOff>
      <xdr:row>25</xdr:row>
      <xdr:rowOff>171450</xdr:rowOff>
    </xdr:from>
    <xdr:to>
      <xdr:col>0</xdr:col>
      <xdr:colOff>1966913</xdr:colOff>
      <xdr:row>25</xdr:row>
      <xdr:rowOff>171450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A342570A-6D04-9AD3-89C8-D01F391F144D}"/>
            </a:ext>
          </a:extLst>
        </xdr:cNvPr>
        <xdr:cNvCxnSpPr/>
      </xdr:nvCxnSpPr>
      <xdr:spPr>
        <a:xfrm>
          <a:off x="252413" y="4953000"/>
          <a:ext cx="1714500" cy="0"/>
        </a:xfrm>
        <a:prstGeom prst="line">
          <a:avLst/>
        </a:prstGeom>
        <a:ln>
          <a:solidFill>
            <a:srgbClr val="A87B05"/>
          </a:solidFill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557703</xdr:colOff>
      <xdr:row>28</xdr:row>
      <xdr:rowOff>28574</xdr:rowOff>
    </xdr:from>
    <xdr:to>
      <xdr:col>0</xdr:col>
      <xdr:colOff>889333</xdr:colOff>
      <xdr:row>29</xdr:row>
      <xdr:rowOff>171450</xdr:rowOff>
    </xdr:to>
    <xdr:pic>
      <xdr:nvPicPr>
        <xdr:cNvPr id="24" name="icon_linkedin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7C40CFC-D805-41AB-AE78-E7EE50F7D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703" y="5381624"/>
          <a:ext cx="331630" cy="333376"/>
        </a:xfrm>
        <a:prstGeom prst="rect">
          <a:avLst/>
        </a:prstGeom>
        <a:solidFill>
          <a:srgbClr val="A87B05"/>
        </a:solidFill>
      </xdr:spPr>
    </xdr:pic>
    <xdr:clientData/>
  </xdr:twoCellAnchor>
  <xdr:twoCellAnchor editAs="absolute">
    <xdr:from>
      <xdr:col>0</xdr:col>
      <xdr:colOff>1109980</xdr:colOff>
      <xdr:row>28</xdr:row>
      <xdr:rowOff>28574</xdr:rowOff>
    </xdr:from>
    <xdr:to>
      <xdr:col>0</xdr:col>
      <xdr:colOff>1445260</xdr:colOff>
      <xdr:row>29</xdr:row>
      <xdr:rowOff>173354</xdr:rowOff>
    </xdr:to>
    <xdr:pic>
      <xdr:nvPicPr>
        <xdr:cNvPr id="25" name="icon_github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25E3AA5-DC7D-405C-B8DF-B4B32FA7D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980" y="5381624"/>
          <a:ext cx="335280" cy="335280"/>
        </a:xfrm>
        <a:prstGeom prst="rect">
          <a:avLst/>
        </a:prstGeom>
        <a:solidFill>
          <a:srgbClr val="A87B05"/>
        </a:solidFill>
      </xdr:spPr>
    </xdr:pic>
    <xdr:clientData/>
  </xdr:twoCellAnchor>
  <xdr:twoCellAnchor editAs="absolute">
    <xdr:from>
      <xdr:col>0</xdr:col>
      <xdr:colOff>357283</xdr:colOff>
      <xdr:row>4</xdr:row>
      <xdr:rowOff>80077</xdr:rowOff>
    </xdr:from>
    <xdr:to>
      <xdr:col>0</xdr:col>
      <xdr:colOff>1801206</xdr:colOff>
      <xdr:row>12</xdr:row>
      <xdr:rowOff>0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1ACF13CF-4AB7-6EFE-DF51-451280405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283" y="861127"/>
          <a:ext cx="1443923" cy="1443923"/>
        </a:xfrm>
        <a:prstGeom prst="rect">
          <a:avLst/>
        </a:prstGeom>
      </xdr:spPr>
    </xdr:pic>
    <xdr:clientData/>
  </xdr:twoCellAnchor>
  <xdr:twoCellAnchor editAs="absolute">
    <xdr:from>
      <xdr:col>3</xdr:col>
      <xdr:colOff>802500</xdr:colOff>
      <xdr:row>32</xdr:row>
      <xdr:rowOff>186300</xdr:rowOff>
    </xdr:from>
    <xdr:to>
      <xdr:col>4</xdr:col>
      <xdr:colOff>0</xdr:colOff>
      <xdr:row>35</xdr:row>
      <xdr:rowOff>0</xdr:rowOff>
    </xdr:to>
    <xdr:grpSp>
      <xdr:nvGrpSpPr>
        <xdr:cNvPr id="48" name="Agrupar 4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99EAD2-3900-4B17-9673-0C907F5C8825}"/>
            </a:ext>
          </a:extLst>
        </xdr:cNvPr>
        <xdr:cNvGrpSpPr/>
      </xdr:nvGrpSpPr>
      <xdr:grpSpPr>
        <a:xfrm>
          <a:off x="6984225" y="6301350"/>
          <a:ext cx="2588400" cy="385200"/>
          <a:chOff x="6086475" y="3771900"/>
          <a:chExt cx="3295650" cy="485775"/>
        </a:xfrm>
        <a:solidFill>
          <a:srgbClr val="A87B05"/>
        </a:solidFill>
      </xdr:grpSpPr>
      <xdr:sp macro="" textlink="">
        <xdr:nvSpPr>
          <xdr:cNvPr id="49" name="Retângulo 48">
            <a:extLst>
              <a:ext uri="{FF2B5EF4-FFF2-40B4-BE49-F238E27FC236}">
                <a16:creationId xmlns:a16="http://schemas.microsoft.com/office/drawing/2014/main" id="{0823DFFA-84ED-1DB8-740A-36137B6B3723}"/>
              </a:ext>
            </a:extLst>
          </xdr:cNvPr>
          <xdr:cNvSpPr/>
        </xdr:nvSpPr>
        <xdr:spPr>
          <a:xfrm>
            <a:off x="6086475" y="3771900"/>
            <a:ext cx="3295650" cy="485775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>
                <a:solidFill>
                  <a:schemeClr val="bg1"/>
                </a:solidFill>
              </a:rPr>
              <a:t>PRÓXIMO</a:t>
            </a:r>
            <a:r>
              <a:rPr lang="pt-BR" sz="1800"/>
              <a:t>  </a:t>
            </a:r>
            <a:endParaRPr lang="pt-BR" sz="1100"/>
          </a:p>
        </xdr:txBody>
      </xdr:sp>
      <xdr:pic>
        <xdr:nvPicPr>
          <xdr:cNvPr id="50" name="Gráfico 49" descr="Acento Circunflexo à Direita com preenchimento sólido">
            <a:extLst>
              <a:ext uri="{FF2B5EF4-FFF2-40B4-BE49-F238E27FC236}">
                <a16:creationId xmlns:a16="http://schemas.microsoft.com/office/drawing/2014/main" id="{03E3F614-B2C6-C8FF-4207-8126194D73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8220075" y="3824287"/>
            <a:ext cx="381000" cy="381000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115281</xdr:colOff>
      <xdr:row>14</xdr:row>
      <xdr:rowOff>0</xdr:rowOff>
    </xdr:from>
    <xdr:to>
      <xdr:col>0</xdr:col>
      <xdr:colOff>2048856</xdr:colOff>
      <xdr:row>16</xdr:row>
      <xdr:rowOff>28575</xdr:rowOff>
    </xdr:to>
    <xdr:sp macro="" textlink="">
      <xdr:nvSpPr>
        <xdr:cNvPr id="54" name="Retângulo: Cantos Arredondado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C33E40-685E-F93D-B72C-9DFC1BE90CBB}"/>
            </a:ext>
          </a:extLst>
        </xdr:cNvPr>
        <xdr:cNvSpPr/>
      </xdr:nvSpPr>
      <xdr:spPr>
        <a:xfrm>
          <a:off x="115281" y="2686050"/>
          <a:ext cx="1933575" cy="409575"/>
        </a:xfrm>
        <a:prstGeom prst="roundRect">
          <a:avLst>
            <a:gd name="adj" fmla="val 50000"/>
          </a:avLst>
        </a:prstGeom>
        <a:gradFill flip="none" rotWithShape="1">
          <a:gsLst>
            <a:gs pos="50000">
              <a:srgbClr val="A87B05"/>
            </a:gs>
            <a:gs pos="5000">
              <a:srgbClr val="664300"/>
            </a:gs>
            <a:gs pos="95000">
              <a:srgbClr val="6643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solidFill>
                <a:schemeClr val="bg1"/>
              </a:solidFill>
            </a:rPr>
            <a:t>TITULAR</a:t>
          </a:r>
          <a:endParaRPr lang="pt-BR" sz="1600" b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133350</xdr:colOff>
      <xdr:row>22</xdr:row>
      <xdr:rowOff>152400</xdr:rowOff>
    </xdr:from>
    <xdr:to>
      <xdr:col>0</xdr:col>
      <xdr:colOff>2066925</xdr:colOff>
      <xdr:row>24</xdr:row>
      <xdr:rowOff>180975</xdr:rowOff>
    </xdr:to>
    <xdr:sp macro="" textlink="">
      <xdr:nvSpPr>
        <xdr:cNvPr id="2" name="Retângulo: Cantos Arredondados 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B71FB73-FA80-412B-B332-9B1BB006D7ED}"/>
            </a:ext>
          </a:extLst>
        </xdr:cNvPr>
        <xdr:cNvSpPr/>
      </xdr:nvSpPr>
      <xdr:spPr>
        <a:xfrm>
          <a:off x="133350" y="4362450"/>
          <a:ext cx="1933575" cy="409575"/>
        </a:xfrm>
        <a:prstGeom prst="roundRect">
          <a:avLst>
            <a:gd name="adj" fmla="val 50000"/>
          </a:avLst>
        </a:prstGeom>
        <a:noFill/>
        <a:ln cap="rnd">
          <a:noFill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solidFill>
                <a:schemeClr val="bg1"/>
              </a:solidFill>
              <a:latin typeface="+mn-lt"/>
              <a:ea typeface="+mn-ea"/>
              <a:cs typeface="+mn-cs"/>
            </a:rPr>
            <a:t>DASHBOARD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4</xdr:row>
      <xdr:rowOff>28575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D40C4650-7061-4D2C-B3F0-8374881F7AF3}"/>
            </a:ext>
          </a:extLst>
        </xdr:cNvPr>
        <xdr:cNvSpPr/>
      </xdr:nvSpPr>
      <xdr:spPr>
        <a:xfrm>
          <a:off x="0" y="0"/>
          <a:ext cx="2181225" cy="809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gradFill>
                <a:gsLst>
                  <a:gs pos="10000">
                    <a:srgbClr val="EFB810"/>
                  </a:gs>
                  <a:gs pos="50000">
                    <a:srgbClr val="A87B05"/>
                  </a:gs>
                  <a:gs pos="89000">
                    <a:srgbClr val="664300"/>
                  </a:gs>
                </a:gsLst>
                <a:lin ang="16200000" scaled="1"/>
              </a:gradFill>
              <a:latin typeface="Sagona" panose="020F0502020204030204" pitchFamily="2" charset="0"/>
            </a:rPr>
            <a:t>LION</a:t>
          </a:r>
          <a:r>
            <a:rPr lang="pt-BR" sz="1200" b="1">
              <a:gradFill>
                <a:gsLst>
                  <a:gs pos="10000">
                    <a:srgbClr val="EFB810"/>
                  </a:gs>
                  <a:gs pos="50000">
                    <a:srgbClr val="A87B05"/>
                  </a:gs>
                  <a:gs pos="89000">
                    <a:srgbClr val="664300"/>
                  </a:gs>
                </a:gsLst>
                <a:lin ang="16200000" scaled="1"/>
              </a:gradFill>
              <a:latin typeface="Sagona" panose="020F0502020204030204" pitchFamily="2" charset="0"/>
            </a:rPr>
            <a:t> </a:t>
          </a:r>
          <a:r>
            <a:rPr lang="pt-BR" sz="2800" b="1">
              <a:gradFill>
                <a:gsLst>
                  <a:gs pos="10000">
                    <a:srgbClr val="EFB810"/>
                  </a:gs>
                  <a:gs pos="50000">
                    <a:srgbClr val="A87B05"/>
                  </a:gs>
                  <a:gs pos="89000">
                    <a:srgbClr val="664300"/>
                  </a:gs>
                </a:gsLst>
                <a:lin ang="16200000" scaled="1"/>
              </a:gradFill>
              <a:latin typeface="Sagona" panose="020F0502020204030204" pitchFamily="2" charset="0"/>
            </a:rPr>
            <a:t>APP</a:t>
          </a:r>
          <a:endParaRPr lang="pt-BR" sz="1200" b="1">
            <a:gradFill>
              <a:gsLst>
                <a:gs pos="10000">
                  <a:srgbClr val="EFB810"/>
                </a:gs>
                <a:gs pos="50000">
                  <a:srgbClr val="A87B05"/>
                </a:gs>
                <a:gs pos="89000">
                  <a:srgbClr val="664300"/>
                </a:gs>
              </a:gsLst>
              <a:lin ang="16200000" scaled="1"/>
            </a:gradFill>
            <a:latin typeface="Sagona" panose="020F0502020204030204" pitchFamily="2" charset="0"/>
          </a:endParaRPr>
        </a:p>
      </xdr:txBody>
    </xdr:sp>
    <xdr:clientData/>
  </xdr:twoCellAnchor>
  <xdr:twoCellAnchor editAs="absolute">
    <xdr:from>
      <xdr:col>0</xdr:col>
      <xdr:colOff>121949</xdr:colOff>
      <xdr:row>16</xdr:row>
      <xdr:rowOff>180975</xdr:rowOff>
    </xdr:from>
    <xdr:to>
      <xdr:col>0</xdr:col>
      <xdr:colOff>2055524</xdr:colOff>
      <xdr:row>19</xdr:row>
      <xdr:rowOff>19050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8BFC3C-F975-4237-804B-A829F6C44521}"/>
            </a:ext>
          </a:extLst>
        </xdr:cNvPr>
        <xdr:cNvSpPr/>
      </xdr:nvSpPr>
      <xdr:spPr>
        <a:xfrm>
          <a:off x="121949" y="3248025"/>
          <a:ext cx="1933575" cy="409575"/>
        </a:xfrm>
        <a:prstGeom prst="roundRect">
          <a:avLst>
            <a:gd name="adj" fmla="val 50000"/>
          </a:avLst>
        </a:prstGeom>
        <a:gradFill>
          <a:gsLst>
            <a:gs pos="50000">
              <a:srgbClr val="A87B05"/>
            </a:gs>
            <a:gs pos="5000">
              <a:srgbClr val="664300"/>
            </a:gs>
            <a:gs pos="95000">
              <a:srgbClr val="664300"/>
            </a:gs>
          </a:gsLst>
          <a:lin ang="0" scaled="1"/>
        </a:gradFill>
        <a:ln cap="rnd">
          <a:noFill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solidFill>
                <a:schemeClr val="bg1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>
    <xdr:from>
      <xdr:col>0</xdr:col>
      <xdr:colOff>112424</xdr:colOff>
      <xdr:row>19</xdr:row>
      <xdr:rowOff>171450</xdr:rowOff>
    </xdr:from>
    <xdr:to>
      <xdr:col>0</xdr:col>
      <xdr:colOff>2045999</xdr:colOff>
      <xdr:row>22</xdr:row>
      <xdr:rowOff>9525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356A21-AA90-4409-A824-2EC00299EE47}"/>
            </a:ext>
          </a:extLst>
        </xdr:cNvPr>
        <xdr:cNvSpPr/>
      </xdr:nvSpPr>
      <xdr:spPr>
        <a:xfrm>
          <a:off x="112424" y="3810000"/>
          <a:ext cx="1933575" cy="409575"/>
        </a:xfrm>
        <a:prstGeom prst="roundRect">
          <a:avLst>
            <a:gd name="adj" fmla="val 50000"/>
          </a:avLst>
        </a:prstGeom>
        <a:noFill/>
        <a:ln cap="rnd">
          <a:noFill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solidFill>
                <a:schemeClr val="bg1"/>
              </a:solidFill>
              <a:latin typeface="+mn-lt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271463</xdr:colOff>
      <xdr:row>25</xdr:row>
      <xdr:rowOff>180975</xdr:rowOff>
    </xdr:from>
    <xdr:to>
      <xdr:col>0</xdr:col>
      <xdr:colOff>1985963</xdr:colOff>
      <xdr:row>25</xdr:row>
      <xdr:rowOff>180975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4EB96680-09BC-49F0-8631-5E4E2C858F64}"/>
            </a:ext>
          </a:extLst>
        </xdr:cNvPr>
        <xdr:cNvCxnSpPr/>
      </xdr:nvCxnSpPr>
      <xdr:spPr>
        <a:xfrm>
          <a:off x="271463" y="4962525"/>
          <a:ext cx="1714500" cy="0"/>
        </a:xfrm>
        <a:prstGeom prst="line">
          <a:avLst/>
        </a:prstGeom>
        <a:ln>
          <a:solidFill>
            <a:srgbClr val="A87B05"/>
          </a:solidFill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557703</xdr:colOff>
      <xdr:row>28</xdr:row>
      <xdr:rowOff>28574</xdr:rowOff>
    </xdr:from>
    <xdr:to>
      <xdr:col>0</xdr:col>
      <xdr:colOff>889333</xdr:colOff>
      <xdr:row>29</xdr:row>
      <xdr:rowOff>171450</xdr:rowOff>
    </xdr:to>
    <xdr:pic>
      <xdr:nvPicPr>
        <xdr:cNvPr id="7" name="Imagem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A37D938-6671-4C7D-88F2-E17C6B449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703" y="5381624"/>
          <a:ext cx="331630" cy="333376"/>
        </a:xfrm>
        <a:prstGeom prst="rect">
          <a:avLst/>
        </a:prstGeom>
        <a:solidFill>
          <a:srgbClr val="A87B05"/>
        </a:solidFill>
      </xdr:spPr>
    </xdr:pic>
    <xdr:clientData/>
  </xdr:twoCellAnchor>
  <xdr:twoCellAnchor editAs="absolute">
    <xdr:from>
      <xdr:col>0</xdr:col>
      <xdr:colOff>1101118</xdr:colOff>
      <xdr:row>28</xdr:row>
      <xdr:rowOff>27622</xdr:rowOff>
    </xdr:from>
    <xdr:to>
      <xdr:col>0</xdr:col>
      <xdr:colOff>1436398</xdr:colOff>
      <xdr:row>29</xdr:row>
      <xdr:rowOff>172402</xdr:rowOff>
    </xdr:to>
    <xdr:pic>
      <xdr:nvPicPr>
        <xdr:cNvPr id="8" name="Imagem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29783BE-072A-4248-BF8F-59B93F71A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118" y="5380672"/>
          <a:ext cx="335280" cy="335280"/>
        </a:xfrm>
        <a:prstGeom prst="rect">
          <a:avLst/>
        </a:prstGeom>
        <a:solidFill>
          <a:srgbClr val="A87B05"/>
        </a:solidFill>
      </xdr:spPr>
    </xdr:pic>
    <xdr:clientData/>
  </xdr:twoCellAnchor>
  <xdr:twoCellAnchor editAs="absolute">
    <xdr:from>
      <xdr:col>0</xdr:col>
      <xdr:colOff>357283</xdr:colOff>
      <xdr:row>4</xdr:row>
      <xdr:rowOff>80077</xdr:rowOff>
    </xdr:from>
    <xdr:to>
      <xdr:col>0</xdr:col>
      <xdr:colOff>1801206</xdr:colOff>
      <xdr:row>12</xdr:row>
      <xdr:rowOff>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EDAE8992-8ED6-491A-9FAF-4E8EA5FA2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283" y="861127"/>
          <a:ext cx="1443923" cy="1443923"/>
        </a:xfrm>
        <a:prstGeom prst="rect">
          <a:avLst/>
        </a:prstGeom>
      </xdr:spPr>
    </xdr:pic>
    <xdr:clientData/>
  </xdr:twoCellAnchor>
  <xdr:twoCellAnchor editAs="absolute">
    <xdr:from>
      <xdr:col>3</xdr:col>
      <xdr:colOff>802500</xdr:colOff>
      <xdr:row>32</xdr:row>
      <xdr:rowOff>186300</xdr:rowOff>
    </xdr:from>
    <xdr:to>
      <xdr:col>4</xdr:col>
      <xdr:colOff>0</xdr:colOff>
      <xdr:row>35</xdr:row>
      <xdr:rowOff>0</xdr:rowOff>
    </xdr:to>
    <xdr:grpSp>
      <xdr:nvGrpSpPr>
        <xdr:cNvPr id="14" name="Agrupar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D6687E-1437-4468-8471-F1B6ABC7D7DF}"/>
            </a:ext>
          </a:extLst>
        </xdr:cNvPr>
        <xdr:cNvGrpSpPr/>
      </xdr:nvGrpSpPr>
      <xdr:grpSpPr>
        <a:xfrm>
          <a:off x="6984225" y="6301350"/>
          <a:ext cx="2588400" cy="385200"/>
          <a:chOff x="6086475" y="3771900"/>
          <a:chExt cx="3295650" cy="485775"/>
        </a:xfrm>
        <a:solidFill>
          <a:srgbClr val="A87B05"/>
        </a:solidFill>
      </xdr:grpSpPr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D2D64518-3A23-89A0-1FFF-7D35532A308B}"/>
              </a:ext>
            </a:extLst>
          </xdr:cNvPr>
          <xdr:cNvSpPr/>
        </xdr:nvSpPr>
        <xdr:spPr>
          <a:xfrm>
            <a:off x="6086475" y="3771900"/>
            <a:ext cx="3295650" cy="485775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>
                <a:solidFill>
                  <a:schemeClr val="bg1"/>
                </a:solidFill>
              </a:rPr>
              <a:t>PRÓXIMO</a:t>
            </a:r>
            <a:r>
              <a:rPr lang="pt-BR" sz="1800"/>
              <a:t>  </a:t>
            </a:r>
            <a:endParaRPr lang="pt-BR" sz="1100"/>
          </a:p>
        </xdr:txBody>
      </xdr:sp>
      <xdr:pic>
        <xdr:nvPicPr>
          <xdr:cNvPr id="16" name="Gráfico 15" descr="Acento Circunflexo à Direita com preenchimento sólido">
            <a:extLst>
              <a:ext uri="{FF2B5EF4-FFF2-40B4-BE49-F238E27FC236}">
                <a16:creationId xmlns:a16="http://schemas.microsoft.com/office/drawing/2014/main" id="{13EE12BB-787B-C3A9-57C0-AE81F75D55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8220075" y="3824287"/>
            <a:ext cx="381000" cy="381000"/>
          </a:xfrm>
          <a:prstGeom prst="rect">
            <a:avLst/>
          </a:prstGeom>
        </xdr:spPr>
      </xdr:pic>
    </xdr:grpSp>
    <xdr:clientData/>
  </xdr:twoCellAnchor>
  <xdr:twoCellAnchor editAs="absolute">
    <xdr:from>
      <xdr:col>2</xdr:col>
      <xdr:colOff>0</xdr:colOff>
      <xdr:row>32</xdr:row>
      <xdr:rowOff>185575</xdr:rowOff>
    </xdr:from>
    <xdr:to>
      <xdr:col>2</xdr:col>
      <xdr:colOff>2587277</xdr:colOff>
      <xdr:row>35</xdr:row>
      <xdr:rowOff>725</xdr:rowOff>
    </xdr:to>
    <xdr:grpSp>
      <xdr:nvGrpSpPr>
        <xdr:cNvPr id="23" name="Agrupar 2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AEEF17C-528D-DAB3-1018-AC6CB7BE6024}"/>
            </a:ext>
          </a:extLst>
        </xdr:cNvPr>
        <xdr:cNvGrpSpPr/>
      </xdr:nvGrpSpPr>
      <xdr:grpSpPr>
        <a:xfrm>
          <a:off x="2790825" y="6300625"/>
          <a:ext cx="2587277" cy="386650"/>
          <a:chOff x="2790825" y="6198616"/>
          <a:chExt cx="2587277" cy="386650"/>
        </a:xfrm>
      </xdr:grpSpPr>
      <xdr:sp macro="" textlink="">
        <xdr:nvSpPr>
          <xdr:cNvPr id="17" name="Retângulo 16">
            <a:extLst>
              <a:ext uri="{FF2B5EF4-FFF2-40B4-BE49-F238E27FC236}">
                <a16:creationId xmlns:a16="http://schemas.microsoft.com/office/drawing/2014/main" id="{20815D1E-8682-457E-954A-5718D3FD6EB2}"/>
              </a:ext>
            </a:extLst>
          </xdr:cNvPr>
          <xdr:cNvSpPr/>
        </xdr:nvSpPr>
        <xdr:spPr>
          <a:xfrm>
            <a:off x="2790825" y="6198616"/>
            <a:ext cx="2587277" cy="386650"/>
          </a:xfrm>
          <a:prstGeom prst="rect">
            <a:avLst/>
          </a:prstGeom>
          <a:solidFill>
            <a:srgbClr val="A87B0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>
                <a:solidFill>
                  <a:schemeClr val="bg1"/>
                </a:solidFill>
              </a:rPr>
              <a:t>ANTERIOR</a:t>
            </a:r>
            <a:r>
              <a:rPr lang="pt-BR" sz="1800"/>
              <a:t>  </a:t>
            </a:r>
            <a:endParaRPr lang="pt-BR" sz="1100"/>
          </a:p>
        </xdr:txBody>
      </xdr:sp>
      <xdr:pic>
        <xdr:nvPicPr>
          <xdr:cNvPr id="22" name="Gráfico 21" descr="Acento Circunflexo à Direita com preenchimento sólido">
            <a:extLst>
              <a:ext uri="{FF2B5EF4-FFF2-40B4-BE49-F238E27FC236}">
                <a16:creationId xmlns:a16="http://schemas.microsoft.com/office/drawing/2014/main" id="{AD6A79BD-1C95-4441-B5C0-C68A314A9A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 rot="10800000">
            <a:off x="3289099" y="6240882"/>
            <a:ext cx="392012" cy="302118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112424</xdr:colOff>
      <xdr:row>14</xdr:row>
      <xdr:rowOff>0</xdr:rowOff>
    </xdr:from>
    <xdr:to>
      <xdr:col>0</xdr:col>
      <xdr:colOff>2045999</xdr:colOff>
      <xdr:row>16</xdr:row>
      <xdr:rowOff>28575</xdr:rowOff>
    </xdr:to>
    <xdr:sp macro="" textlink="">
      <xdr:nvSpPr>
        <xdr:cNvPr id="24" name="Retângulo: Cantos Arredondados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522AACC-05D3-48A4-AC91-2EA9915C198D}"/>
            </a:ext>
          </a:extLst>
        </xdr:cNvPr>
        <xdr:cNvSpPr/>
      </xdr:nvSpPr>
      <xdr:spPr>
        <a:xfrm>
          <a:off x="112424" y="2686050"/>
          <a:ext cx="1933575" cy="409575"/>
        </a:xfrm>
        <a:prstGeom prst="roundRect">
          <a:avLst>
            <a:gd name="adj" fmla="val 50000"/>
          </a:avLst>
        </a:prstGeom>
        <a:noFill/>
        <a:ln cap="rnd">
          <a:noFill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solidFill>
                <a:schemeClr val="bg1"/>
              </a:solidFill>
            </a:rPr>
            <a:t>TITULAR</a:t>
          </a:r>
          <a:endParaRPr lang="pt-BR" sz="1600" b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142875</xdr:colOff>
      <xdr:row>22</xdr:row>
      <xdr:rowOff>161925</xdr:rowOff>
    </xdr:from>
    <xdr:to>
      <xdr:col>0</xdr:col>
      <xdr:colOff>2076450</xdr:colOff>
      <xdr:row>25</xdr:row>
      <xdr:rowOff>0</xdr:rowOff>
    </xdr:to>
    <xdr:sp macro="" textlink="">
      <xdr:nvSpPr>
        <xdr:cNvPr id="3" name="Retângulo: Cantos Arredondados 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F2AC972-E452-4C70-9248-4170B4A3D547}"/>
            </a:ext>
          </a:extLst>
        </xdr:cNvPr>
        <xdr:cNvSpPr/>
      </xdr:nvSpPr>
      <xdr:spPr>
        <a:xfrm>
          <a:off x="142875" y="4371975"/>
          <a:ext cx="1933575" cy="409575"/>
        </a:xfrm>
        <a:prstGeom prst="roundRect">
          <a:avLst>
            <a:gd name="adj" fmla="val 50000"/>
          </a:avLst>
        </a:prstGeom>
        <a:noFill/>
        <a:ln cap="rnd">
          <a:noFill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0">
              <a:solidFill>
                <a:schemeClr val="bg1"/>
              </a:solidFill>
              <a:latin typeface="+mn-lt"/>
              <a:ea typeface="+mn-ea"/>
              <a:cs typeface="+mn-cs"/>
            </a:rPr>
            <a:t>DASHBOARD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4</xdr:row>
      <xdr:rowOff>28575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294EC5A8-0E70-4C90-B41F-2A5D737D823F}"/>
            </a:ext>
          </a:extLst>
        </xdr:cNvPr>
        <xdr:cNvSpPr/>
      </xdr:nvSpPr>
      <xdr:spPr>
        <a:xfrm>
          <a:off x="0" y="0"/>
          <a:ext cx="2181225" cy="809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gradFill flip="none" rotWithShape="1">
                <a:gsLst>
                  <a:gs pos="0">
                    <a:srgbClr val="EFB810"/>
                  </a:gs>
                  <a:gs pos="90000">
                    <a:srgbClr val="664300"/>
                  </a:gs>
                </a:gsLst>
                <a:lin ang="16200000" scaled="1"/>
                <a:tileRect/>
              </a:gradFill>
              <a:latin typeface="Sagona" panose="020F0502020204030204" pitchFamily="2" charset="0"/>
            </a:rPr>
            <a:t>LION</a:t>
          </a:r>
          <a:r>
            <a:rPr lang="pt-BR" sz="1200" b="1">
              <a:gradFill flip="none" rotWithShape="1">
                <a:gsLst>
                  <a:gs pos="0">
                    <a:srgbClr val="EFB810"/>
                  </a:gs>
                  <a:gs pos="90000">
                    <a:srgbClr val="664300"/>
                  </a:gs>
                </a:gsLst>
                <a:lin ang="16200000" scaled="1"/>
                <a:tileRect/>
              </a:gradFill>
              <a:latin typeface="Sagona" panose="020F0502020204030204" pitchFamily="2" charset="0"/>
            </a:rPr>
            <a:t> </a:t>
          </a:r>
          <a:r>
            <a:rPr lang="pt-BR" sz="2800" b="1">
              <a:gradFill flip="none" rotWithShape="1">
                <a:gsLst>
                  <a:gs pos="0">
                    <a:srgbClr val="EFB810"/>
                  </a:gs>
                  <a:gs pos="90000">
                    <a:srgbClr val="664300"/>
                  </a:gs>
                </a:gsLst>
                <a:lin ang="16200000" scaled="1"/>
                <a:tileRect/>
              </a:gradFill>
              <a:latin typeface="Sagona" panose="020F0502020204030204" pitchFamily="2" charset="0"/>
            </a:rPr>
            <a:t>APP</a:t>
          </a:r>
          <a:endParaRPr lang="pt-BR" sz="1200" b="1">
            <a:gradFill flip="none" rotWithShape="1">
              <a:gsLst>
                <a:gs pos="0">
                  <a:srgbClr val="EFB810"/>
                </a:gs>
                <a:gs pos="90000">
                  <a:srgbClr val="664300"/>
                </a:gs>
              </a:gsLst>
              <a:lin ang="16200000" scaled="1"/>
              <a:tileRect/>
            </a:gradFill>
            <a:latin typeface="Sagona" panose="020F0502020204030204" pitchFamily="2" charset="0"/>
          </a:endParaRPr>
        </a:p>
      </xdr:txBody>
    </xdr:sp>
    <xdr:clientData/>
  </xdr:twoCellAnchor>
  <xdr:twoCellAnchor>
    <xdr:from>
      <xdr:col>0</xdr:col>
      <xdr:colOff>160518</xdr:colOff>
      <xdr:row>14</xdr:row>
      <xdr:rowOff>0</xdr:rowOff>
    </xdr:from>
    <xdr:to>
      <xdr:col>0</xdr:col>
      <xdr:colOff>2094093</xdr:colOff>
      <xdr:row>16</xdr:row>
      <xdr:rowOff>28575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7B913C-ECEB-4D7B-ACDB-BA6511E1D8F8}"/>
            </a:ext>
          </a:extLst>
        </xdr:cNvPr>
        <xdr:cNvSpPr/>
      </xdr:nvSpPr>
      <xdr:spPr>
        <a:xfrm>
          <a:off x="160518" y="2686050"/>
          <a:ext cx="1933575" cy="409575"/>
        </a:xfrm>
        <a:prstGeom prst="roundRect">
          <a:avLst>
            <a:gd name="adj" fmla="val 50000"/>
          </a:avLst>
        </a:prstGeom>
        <a:noFill/>
        <a:ln cap="rnd">
          <a:noFill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solidFill>
                <a:schemeClr val="bg1"/>
              </a:solidFill>
            </a:rPr>
            <a:t>TITULAR</a:t>
          </a:r>
          <a:endParaRPr lang="pt-BR" sz="1600" b="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160518</xdr:colOff>
      <xdr:row>16</xdr:row>
      <xdr:rowOff>177800</xdr:rowOff>
    </xdr:from>
    <xdr:to>
      <xdr:col>0</xdr:col>
      <xdr:colOff>2094093</xdr:colOff>
      <xdr:row>19</xdr:row>
      <xdr:rowOff>15875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55EB21-956C-45DC-BF59-FD85341A06E4}"/>
            </a:ext>
          </a:extLst>
        </xdr:cNvPr>
        <xdr:cNvSpPr/>
      </xdr:nvSpPr>
      <xdr:spPr>
        <a:xfrm>
          <a:off x="160518" y="3244850"/>
          <a:ext cx="1933575" cy="409575"/>
        </a:xfrm>
        <a:prstGeom prst="roundRect">
          <a:avLst>
            <a:gd name="adj" fmla="val 50000"/>
          </a:avLst>
        </a:prstGeom>
        <a:noFill/>
        <a:ln cap="rnd">
          <a:noFill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solidFill>
                <a:schemeClr val="bg1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151462</xdr:colOff>
      <xdr:row>19</xdr:row>
      <xdr:rowOff>165100</xdr:rowOff>
    </xdr:from>
    <xdr:to>
      <xdr:col>0</xdr:col>
      <xdr:colOff>2085037</xdr:colOff>
      <xdr:row>22</xdr:row>
      <xdr:rowOff>3175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AC651DB-EA0E-4F39-B26F-148E43EE93A3}"/>
            </a:ext>
          </a:extLst>
        </xdr:cNvPr>
        <xdr:cNvSpPr/>
      </xdr:nvSpPr>
      <xdr:spPr>
        <a:xfrm>
          <a:off x="151462" y="3803650"/>
          <a:ext cx="1933575" cy="409575"/>
        </a:xfrm>
        <a:prstGeom prst="roundRect">
          <a:avLst>
            <a:gd name="adj" fmla="val 50000"/>
          </a:avLst>
        </a:prstGeom>
        <a:gradFill>
          <a:gsLst>
            <a:gs pos="50000">
              <a:srgbClr val="AB7E08"/>
            </a:gs>
            <a:gs pos="5000">
              <a:srgbClr val="664300"/>
            </a:gs>
            <a:gs pos="95000">
              <a:srgbClr val="664300"/>
            </a:gs>
          </a:gsLst>
          <a:lin ang="0" scaled="1"/>
        </a:gradFill>
        <a:ln cap="rnd">
          <a:noFill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solidFill>
                <a:schemeClr val="bg1"/>
              </a:solidFill>
              <a:latin typeface="+mn-lt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252413</xdr:colOff>
      <xdr:row>26</xdr:row>
      <xdr:rowOff>0</xdr:rowOff>
    </xdr:from>
    <xdr:to>
      <xdr:col>0</xdr:col>
      <xdr:colOff>1966913</xdr:colOff>
      <xdr:row>26</xdr:row>
      <xdr:rowOff>0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6CD6DF7E-25B9-40AA-BF79-FAFC23F62A21}"/>
            </a:ext>
          </a:extLst>
        </xdr:cNvPr>
        <xdr:cNvCxnSpPr/>
      </xdr:nvCxnSpPr>
      <xdr:spPr>
        <a:xfrm>
          <a:off x="252413" y="4972050"/>
          <a:ext cx="1714500" cy="0"/>
        </a:xfrm>
        <a:prstGeom prst="line">
          <a:avLst/>
        </a:prstGeom>
        <a:ln>
          <a:solidFill>
            <a:srgbClr val="A87B05"/>
          </a:solidFill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557703</xdr:colOff>
      <xdr:row>28</xdr:row>
      <xdr:rowOff>28574</xdr:rowOff>
    </xdr:from>
    <xdr:to>
      <xdr:col>0</xdr:col>
      <xdr:colOff>889333</xdr:colOff>
      <xdr:row>29</xdr:row>
      <xdr:rowOff>171450</xdr:rowOff>
    </xdr:to>
    <xdr:pic>
      <xdr:nvPicPr>
        <xdr:cNvPr id="7" name="Imagem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6465B71-33E9-4FBE-A2C1-0658245AE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703" y="5381624"/>
          <a:ext cx="331630" cy="333376"/>
        </a:xfrm>
        <a:prstGeom prst="rect">
          <a:avLst/>
        </a:prstGeom>
        <a:solidFill>
          <a:srgbClr val="A87B05"/>
        </a:solidFill>
      </xdr:spPr>
    </xdr:pic>
    <xdr:clientData/>
  </xdr:twoCellAnchor>
  <xdr:twoCellAnchor editAs="absolute">
    <xdr:from>
      <xdr:col>0</xdr:col>
      <xdr:colOff>1101118</xdr:colOff>
      <xdr:row>28</xdr:row>
      <xdr:rowOff>27622</xdr:rowOff>
    </xdr:from>
    <xdr:to>
      <xdr:col>0</xdr:col>
      <xdr:colOff>1436398</xdr:colOff>
      <xdr:row>29</xdr:row>
      <xdr:rowOff>172402</xdr:rowOff>
    </xdr:to>
    <xdr:pic>
      <xdr:nvPicPr>
        <xdr:cNvPr id="8" name="Imagem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7823E86-CFD5-4A05-BC3E-794CC1A07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118" y="5380672"/>
          <a:ext cx="335280" cy="335280"/>
        </a:xfrm>
        <a:prstGeom prst="rect">
          <a:avLst/>
        </a:prstGeom>
        <a:solidFill>
          <a:srgbClr val="A87B05"/>
        </a:solidFill>
      </xdr:spPr>
    </xdr:pic>
    <xdr:clientData/>
  </xdr:twoCellAnchor>
  <xdr:twoCellAnchor editAs="absolute">
    <xdr:from>
      <xdr:col>0</xdr:col>
      <xdr:colOff>357283</xdr:colOff>
      <xdr:row>4</xdr:row>
      <xdr:rowOff>80077</xdr:rowOff>
    </xdr:from>
    <xdr:to>
      <xdr:col>0</xdr:col>
      <xdr:colOff>1801206</xdr:colOff>
      <xdr:row>12</xdr:row>
      <xdr:rowOff>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24F2081-57DD-4EDB-A126-200D9F567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283" y="861127"/>
          <a:ext cx="1443923" cy="1443923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32</xdr:row>
      <xdr:rowOff>184850</xdr:rowOff>
    </xdr:from>
    <xdr:to>
      <xdr:col>3</xdr:col>
      <xdr:colOff>416700</xdr:colOff>
      <xdr:row>35</xdr:row>
      <xdr:rowOff>0</xdr:rowOff>
    </xdr:to>
    <xdr:grpSp>
      <xdr:nvGrpSpPr>
        <xdr:cNvPr id="23" name="Agrupar 2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7EE02C-1697-4F4B-9731-D897D80739B8}"/>
            </a:ext>
          </a:extLst>
        </xdr:cNvPr>
        <xdr:cNvGrpSpPr/>
      </xdr:nvGrpSpPr>
      <xdr:grpSpPr>
        <a:xfrm>
          <a:off x="2790825" y="6299900"/>
          <a:ext cx="2588400" cy="386650"/>
          <a:chOff x="2790825" y="6198616"/>
          <a:chExt cx="2587277" cy="386650"/>
        </a:xfrm>
      </xdr:grpSpPr>
      <xdr:sp macro="" textlink="">
        <xdr:nvSpPr>
          <xdr:cNvPr id="24" name="Retângulo 23">
            <a:extLst>
              <a:ext uri="{FF2B5EF4-FFF2-40B4-BE49-F238E27FC236}">
                <a16:creationId xmlns:a16="http://schemas.microsoft.com/office/drawing/2014/main" id="{2CED38C7-CADB-EFB7-6390-E906E94F47B1}"/>
              </a:ext>
            </a:extLst>
          </xdr:cNvPr>
          <xdr:cNvSpPr/>
        </xdr:nvSpPr>
        <xdr:spPr>
          <a:xfrm>
            <a:off x="2790825" y="6198616"/>
            <a:ext cx="2587277" cy="386650"/>
          </a:xfrm>
          <a:prstGeom prst="rect">
            <a:avLst/>
          </a:prstGeom>
          <a:solidFill>
            <a:srgbClr val="A87B0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>
                <a:solidFill>
                  <a:schemeClr val="bg1"/>
                </a:solidFill>
              </a:rPr>
              <a:t>ANTERIOR</a:t>
            </a:r>
            <a:r>
              <a:rPr lang="pt-BR" sz="1800"/>
              <a:t>  </a:t>
            </a:r>
            <a:endParaRPr lang="pt-BR" sz="1100"/>
          </a:p>
        </xdr:txBody>
      </xdr:sp>
      <xdr:pic>
        <xdr:nvPicPr>
          <xdr:cNvPr id="25" name="Gráfico 24" descr="Acento Circunflexo à Direita com preenchimento sólido">
            <a:extLst>
              <a:ext uri="{FF2B5EF4-FFF2-40B4-BE49-F238E27FC236}">
                <a16:creationId xmlns:a16="http://schemas.microsoft.com/office/drawing/2014/main" id="{29A845B3-3F04-1ECA-9AA5-23D5185843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 rot="10800000">
            <a:off x="3289099" y="6240882"/>
            <a:ext cx="392012" cy="302118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141468</xdr:colOff>
      <xdr:row>22</xdr:row>
      <xdr:rowOff>152400</xdr:rowOff>
    </xdr:from>
    <xdr:to>
      <xdr:col>0</xdr:col>
      <xdr:colOff>2075043</xdr:colOff>
      <xdr:row>24</xdr:row>
      <xdr:rowOff>180975</xdr:rowOff>
    </xdr:to>
    <xdr:sp macro="" textlink="">
      <xdr:nvSpPr>
        <xdr:cNvPr id="10" name="Retângulo: Cantos Arredondados 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D17DA2D-0BC5-4D8A-9F25-FDE4A28CF888}"/>
            </a:ext>
          </a:extLst>
        </xdr:cNvPr>
        <xdr:cNvSpPr/>
      </xdr:nvSpPr>
      <xdr:spPr>
        <a:xfrm>
          <a:off x="141468" y="4362450"/>
          <a:ext cx="1933575" cy="409575"/>
        </a:xfrm>
        <a:prstGeom prst="roundRect">
          <a:avLst>
            <a:gd name="adj" fmla="val 50000"/>
          </a:avLst>
        </a:prstGeom>
        <a:noFill/>
        <a:ln cap="rnd">
          <a:noFill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solidFill>
                <a:schemeClr val="bg1"/>
              </a:solidFill>
              <a:latin typeface="+mn-lt"/>
              <a:ea typeface="+mn-ea"/>
              <a:cs typeface="+mn-cs"/>
            </a:rPr>
            <a:t>DASHBOARD</a:t>
          </a:r>
        </a:p>
      </xdr:txBody>
    </xdr:sp>
    <xdr:clientData/>
  </xdr:twoCellAnchor>
  <xdr:twoCellAnchor editAs="absolute">
    <xdr:from>
      <xdr:col>3</xdr:col>
      <xdr:colOff>1752600</xdr:colOff>
      <xdr:row>32</xdr:row>
      <xdr:rowOff>180975</xdr:rowOff>
    </xdr:from>
    <xdr:to>
      <xdr:col>4</xdr:col>
      <xdr:colOff>2169300</xdr:colOff>
      <xdr:row>34</xdr:row>
      <xdr:rowOff>185175</xdr:rowOff>
    </xdr:to>
    <xdr:grpSp>
      <xdr:nvGrpSpPr>
        <xdr:cNvPr id="13" name="Agrupar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C6AA8DB-B91A-4812-93BE-F3B6689118F0}"/>
            </a:ext>
          </a:extLst>
        </xdr:cNvPr>
        <xdr:cNvGrpSpPr/>
      </xdr:nvGrpSpPr>
      <xdr:grpSpPr>
        <a:xfrm>
          <a:off x="6715125" y="6296025"/>
          <a:ext cx="2588400" cy="385200"/>
          <a:chOff x="6086475" y="3771900"/>
          <a:chExt cx="3295650" cy="485775"/>
        </a:xfrm>
        <a:solidFill>
          <a:srgbClr val="A87B05"/>
        </a:solidFill>
      </xdr:grpSpPr>
      <xdr:sp macro="" textlink="">
        <xdr:nvSpPr>
          <xdr:cNvPr id="14" name="Retângulo 13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238C5DE6-DF1C-B380-10EF-27B3AB3B1DF8}"/>
              </a:ext>
            </a:extLst>
          </xdr:cNvPr>
          <xdr:cNvSpPr/>
        </xdr:nvSpPr>
        <xdr:spPr>
          <a:xfrm>
            <a:off x="6086475" y="3771900"/>
            <a:ext cx="3295650" cy="485775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>
                <a:solidFill>
                  <a:schemeClr val="bg1"/>
                </a:solidFill>
              </a:rPr>
              <a:t>PRÓXIMO</a:t>
            </a:r>
            <a:r>
              <a:rPr lang="pt-BR" sz="1800"/>
              <a:t>  </a:t>
            </a:r>
            <a:endParaRPr lang="pt-BR" sz="1100"/>
          </a:p>
        </xdr:txBody>
      </xdr:sp>
      <xdr:pic>
        <xdr:nvPicPr>
          <xdr:cNvPr id="15" name="Gráfico 14" descr="Acento Circunflexo à Direita com preenchimento sólido">
            <a:extLst>
              <a:ext uri="{FF2B5EF4-FFF2-40B4-BE49-F238E27FC236}">
                <a16:creationId xmlns:a16="http://schemas.microsoft.com/office/drawing/2014/main" id="{9489D2EE-3650-87FE-9888-8586E411B4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8220075" y="3824287"/>
            <a:ext cx="381000" cy="381000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6</xdr:row>
      <xdr:rowOff>180975</xdr:rowOff>
    </xdr:from>
    <xdr:to>
      <xdr:col>12</xdr:col>
      <xdr:colOff>295275</xdr:colOff>
      <xdr:row>21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A0451F0-7718-4DB2-8E5B-4069BFDD3E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104776</xdr:colOff>
      <xdr:row>1</xdr:row>
      <xdr:rowOff>9525</xdr:rowOff>
    </xdr:from>
    <xdr:to>
      <xdr:col>3</xdr:col>
      <xdr:colOff>1699934</xdr:colOff>
      <xdr:row>5</xdr:row>
      <xdr:rowOff>104775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4BAA722F-4CCA-DC22-D306-C32CFF6B5164}"/>
            </a:ext>
          </a:extLst>
        </xdr:cNvPr>
        <xdr:cNvGrpSpPr/>
      </xdr:nvGrpSpPr>
      <xdr:grpSpPr>
        <a:xfrm>
          <a:off x="1562101" y="200025"/>
          <a:ext cx="2976283" cy="866775"/>
          <a:chOff x="638175" y="314325"/>
          <a:chExt cx="2419350" cy="866775"/>
        </a:xfrm>
      </xdr:grpSpPr>
      <xdr:sp macro="" textlink="Notas!$G$9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95795281-DE4D-6B79-9B27-EA0107A4F4EF}"/>
              </a:ext>
            </a:extLst>
          </xdr:cNvPr>
          <xdr:cNvSpPr/>
        </xdr:nvSpPr>
        <xdr:spPr>
          <a:xfrm>
            <a:off x="638175" y="352425"/>
            <a:ext cx="2419350" cy="828675"/>
          </a:xfrm>
          <a:prstGeom prst="roundRect">
            <a:avLst/>
          </a:prstGeom>
          <a:solidFill>
            <a:srgbClr val="E8E2C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65E5A096-5996-4320-B832-6F498C37B8BC}" type="TxLink">
              <a:rPr lang="en-US" sz="2400" b="1" i="0" u="none" strike="noStrike">
                <a:solidFill>
                  <a:srgbClr val="A87B05"/>
                </a:solidFill>
                <a:latin typeface="Aptos Narrow"/>
              </a:rPr>
              <a:t>R$ 17.970,00</a:t>
            </a:fld>
            <a:endParaRPr lang="pt-BR" sz="4800" b="1">
              <a:solidFill>
                <a:srgbClr val="A87B05"/>
              </a:solidFill>
            </a:endParaRPr>
          </a:p>
        </xdr:txBody>
      </xdr:sp>
      <xdr:sp macro="" textlink="">
        <xdr:nvSpPr>
          <xdr:cNvPr id="5" name="Retângulo: Cantos Superiores Arredondados 4">
            <a:extLst>
              <a:ext uri="{FF2B5EF4-FFF2-40B4-BE49-F238E27FC236}">
                <a16:creationId xmlns:a16="http://schemas.microsoft.com/office/drawing/2014/main" id="{446FF96D-C50B-322B-DF63-58E93299242D}"/>
              </a:ext>
            </a:extLst>
          </xdr:cNvPr>
          <xdr:cNvSpPr/>
        </xdr:nvSpPr>
        <xdr:spPr>
          <a:xfrm>
            <a:off x="639958" y="314325"/>
            <a:ext cx="2413923" cy="381000"/>
          </a:xfrm>
          <a:prstGeom prst="round2SameRect">
            <a:avLst>
              <a:gd name="adj1" fmla="val 41667"/>
              <a:gd name="adj2" fmla="val 0"/>
            </a:avLst>
          </a:prstGeom>
          <a:solidFill>
            <a:srgbClr val="A87B0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>
                <a:solidFill>
                  <a:srgbClr val="664300"/>
                </a:solidFill>
              </a:rPr>
              <a:t>ENTRADAS TOTAIS</a:t>
            </a:r>
          </a:p>
        </xdr:txBody>
      </xdr:sp>
    </xdr:grpSp>
    <xdr:clientData/>
  </xdr:twoCellAnchor>
  <xdr:twoCellAnchor editAs="absolute">
    <xdr:from>
      <xdr:col>4</xdr:col>
      <xdr:colOff>142875</xdr:colOff>
      <xdr:row>1</xdr:row>
      <xdr:rowOff>111</xdr:rowOff>
    </xdr:from>
    <xdr:to>
      <xdr:col>7</xdr:col>
      <xdr:colOff>197175</xdr:colOff>
      <xdr:row>5</xdr:row>
      <xdr:rowOff>104661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53468697-7E0D-46ED-B7C9-57B7F9AC27BB}"/>
            </a:ext>
          </a:extLst>
        </xdr:cNvPr>
        <xdr:cNvGrpSpPr/>
      </xdr:nvGrpSpPr>
      <xdr:grpSpPr>
        <a:xfrm>
          <a:off x="4686300" y="190611"/>
          <a:ext cx="2978475" cy="876075"/>
          <a:chOff x="647700" y="295077"/>
          <a:chExt cx="2419676" cy="838398"/>
        </a:xfrm>
      </xdr:grpSpPr>
      <xdr:sp macro="" textlink="Notas!$G$10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323B348A-B543-3917-BF1C-0E436EF36D1D}"/>
              </a:ext>
            </a:extLst>
          </xdr:cNvPr>
          <xdr:cNvSpPr/>
        </xdr:nvSpPr>
        <xdr:spPr>
          <a:xfrm>
            <a:off x="647700" y="304800"/>
            <a:ext cx="2419350" cy="828675"/>
          </a:xfrm>
          <a:prstGeom prst="roundRect">
            <a:avLst/>
          </a:prstGeom>
          <a:solidFill>
            <a:srgbClr val="E8E2C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F53209E8-A4F6-444C-8811-2D45D119CB63}" type="TxLink">
              <a:rPr lang="en-US" sz="2400" b="1" i="0" u="none" strike="noStrike">
                <a:solidFill>
                  <a:srgbClr val="A87B05"/>
                </a:solidFill>
                <a:effectLst/>
                <a:latin typeface="Aptos Narrow"/>
              </a:rPr>
              <a:t>8</a:t>
            </a:fld>
            <a:endParaRPr lang="pt-BR" sz="4800" b="1">
              <a:solidFill>
                <a:srgbClr val="A87B05"/>
              </a:solidFill>
            </a:endParaRPr>
          </a:p>
        </xdr:txBody>
      </xdr:sp>
      <xdr:sp macro="" textlink="">
        <xdr:nvSpPr>
          <xdr:cNvPr id="9" name="Retângulo: Cantos Superiores Arredondados 8">
            <a:extLst>
              <a:ext uri="{FF2B5EF4-FFF2-40B4-BE49-F238E27FC236}">
                <a16:creationId xmlns:a16="http://schemas.microsoft.com/office/drawing/2014/main" id="{AF1B7298-1BAA-8793-F47A-D56FF42DD369}"/>
              </a:ext>
            </a:extLst>
          </xdr:cNvPr>
          <xdr:cNvSpPr/>
        </xdr:nvSpPr>
        <xdr:spPr>
          <a:xfrm>
            <a:off x="648026" y="295077"/>
            <a:ext cx="2419350" cy="381000"/>
          </a:xfrm>
          <a:prstGeom prst="round2SameRect">
            <a:avLst>
              <a:gd name="adj1" fmla="val 41667"/>
              <a:gd name="adj2" fmla="val 0"/>
            </a:avLst>
          </a:prstGeom>
          <a:solidFill>
            <a:srgbClr val="A87B0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>
                <a:solidFill>
                  <a:srgbClr val="664300"/>
                </a:solidFill>
              </a:rPr>
              <a:t>QUANTIDADES DE ENTRADAS</a:t>
            </a:r>
          </a:p>
        </xdr:txBody>
      </xdr:sp>
    </xdr:grpSp>
    <xdr:clientData/>
  </xdr:twoCellAnchor>
  <xdr:twoCellAnchor editAs="absolute">
    <xdr:from>
      <xdr:col>7</xdr:col>
      <xdr:colOff>342900</xdr:colOff>
      <xdr:row>0</xdr:row>
      <xdr:rowOff>181087</xdr:rowOff>
    </xdr:from>
    <xdr:to>
      <xdr:col>12</xdr:col>
      <xdr:colOff>282900</xdr:colOff>
      <xdr:row>5</xdr:row>
      <xdr:rowOff>104662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987F8549-2A34-4CDE-815A-ABF00FCB5101}"/>
            </a:ext>
          </a:extLst>
        </xdr:cNvPr>
        <xdr:cNvGrpSpPr/>
      </xdr:nvGrpSpPr>
      <xdr:grpSpPr>
        <a:xfrm>
          <a:off x="7810500" y="181087"/>
          <a:ext cx="2988000" cy="885600"/>
          <a:chOff x="647700" y="295275"/>
          <a:chExt cx="2419350" cy="838200"/>
        </a:xfrm>
      </xdr:grpSpPr>
      <xdr:sp macro="" textlink="Notas!$G$11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905775B6-82EE-1E7C-63AE-38F1AFDD418F}"/>
              </a:ext>
            </a:extLst>
          </xdr:cNvPr>
          <xdr:cNvSpPr/>
        </xdr:nvSpPr>
        <xdr:spPr>
          <a:xfrm>
            <a:off x="647700" y="304800"/>
            <a:ext cx="2419350" cy="828675"/>
          </a:xfrm>
          <a:prstGeom prst="roundRect">
            <a:avLst/>
          </a:prstGeom>
          <a:solidFill>
            <a:srgbClr val="E8E2C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EEA90413-5787-4464-B6AD-D419877E8881}" type="TxLink">
              <a:rPr lang="en-US" sz="2400" b="1" i="0" u="none" strike="noStrike">
                <a:solidFill>
                  <a:srgbClr val="A87B05"/>
                </a:solidFill>
                <a:effectLst/>
                <a:latin typeface="Aptos Narrow"/>
              </a:rPr>
              <a:t>23/10/2026</a:t>
            </a:fld>
            <a:endParaRPr lang="pt-BR" sz="8800" b="1">
              <a:solidFill>
                <a:srgbClr val="A87B05"/>
              </a:solidFill>
            </a:endParaRPr>
          </a:p>
        </xdr:txBody>
      </xdr:sp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5D3D31ED-B0A2-23C8-2F36-A2A9EE7E010F}"/>
              </a:ext>
            </a:extLst>
          </xdr:cNvPr>
          <xdr:cNvSpPr/>
        </xdr:nvSpPr>
        <xdr:spPr>
          <a:xfrm>
            <a:off x="647700" y="295275"/>
            <a:ext cx="2419350" cy="381000"/>
          </a:xfrm>
          <a:prstGeom prst="round2SameRect">
            <a:avLst>
              <a:gd name="adj1" fmla="val 41667"/>
              <a:gd name="adj2" fmla="val 0"/>
            </a:avLst>
          </a:prstGeom>
          <a:solidFill>
            <a:srgbClr val="A87B0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800">
                <a:solidFill>
                  <a:srgbClr val="664300"/>
                </a:solidFill>
              </a:rPr>
              <a:t>ULTIMA ENTRADA</a:t>
            </a:r>
          </a:p>
        </xdr:txBody>
      </xdr:sp>
    </xdr:grpSp>
    <xdr:clientData/>
  </xdr:twoCellAnchor>
  <xdr:twoCellAnchor>
    <xdr:from>
      <xdr:col>1</xdr:col>
      <xdr:colOff>104777</xdr:colOff>
      <xdr:row>22</xdr:row>
      <xdr:rowOff>23812</xdr:rowOff>
    </xdr:from>
    <xdr:to>
      <xdr:col>4</xdr:col>
      <xdr:colOff>1524001</xdr:colOff>
      <xdr:row>34</xdr:row>
      <xdr:rowOff>171450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1CC5948E-FC5A-0A9B-53CC-4AA5EAC4B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5</xdr:col>
      <xdr:colOff>95250</xdr:colOff>
      <xdr:row>23</xdr:row>
      <xdr:rowOff>66675</xdr:rowOff>
    </xdr:from>
    <xdr:to>
      <xdr:col>8</xdr:col>
      <xdr:colOff>409575</xdr:colOff>
      <xdr:row>27</xdr:row>
      <xdr:rowOff>190275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1A9E691E-F6F0-489A-B29B-CE7761635660}"/>
            </a:ext>
          </a:extLst>
        </xdr:cNvPr>
        <xdr:cNvGrpSpPr/>
      </xdr:nvGrpSpPr>
      <xdr:grpSpPr>
        <a:xfrm>
          <a:off x="6343650" y="4457700"/>
          <a:ext cx="2143125" cy="885600"/>
          <a:chOff x="647700" y="295275"/>
          <a:chExt cx="2419350" cy="838200"/>
        </a:xfrm>
      </xdr:grpSpPr>
      <xdr:sp macro="" textlink="Notas!G12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CDE5F8EA-5D45-8469-1741-B4107C0BC2D3}"/>
              </a:ext>
            </a:extLst>
          </xdr:cNvPr>
          <xdr:cNvSpPr/>
        </xdr:nvSpPr>
        <xdr:spPr>
          <a:xfrm>
            <a:off x="647700" y="304800"/>
            <a:ext cx="2419350" cy="828675"/>
          </a:xfrm>
          <a:prstGeom prst="roundRect">
            <a:avLst/>
          </a:prstGeom>
          <a:solidFill>
            <a:srgbClr val="E8E2C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E254164E-5073-41C3-88FB-203A9FBD3D0B}" type="TxLink">
              <a:rPr lang="en-US" sz="2400" b="1" i="0" u="none" strike="noStrike">
                <a:solidFill>
                  <a:srgbClr val="A87B05"/>
                </a:solidFill>
                <a:latin typeface="Aptos Narrow"/>
              </a:rPr>
              <a:t>R$ 5.000,00</a:t>
            </a:fld>
            <a:endParaRPr lang="pt-BR" sz="4800" b="1">
              <a:solidFill>
                <a:srgbClr val="A87B05"/>
              </a:solidFill>
            </a:endParaRPr>
          </a:p>
        </xdr:txBody>
      </xdr:sp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935C7366-9852-1B54-3CE8-8009756A2897}"/>
              </a:ext>
            </a:extLst>
          </xdr:cNvPr>
          <xdr:cNvSpPr/>
        </xdr:nvSpPr>
        <xdr:spPr>
          <a:xfrm>
            <a:off x="647700" y="295275"/>
            <a:ext cx="2419350" cy="381000"/>
          </a:xfrm>
          <a:prstGeom prst="round2SameRect">
            <a:avLst>
              <a:gd name="adj1" fmla="val 41667"/>
              <a:gd name="adj2" fmla="val 0"/>
            </a:avLst>
          </a:prstGeom>
          <a:solidFill>
            <a:srgbClr val="A87B0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800">
                <a:solidFill>
                  <a:srgbClr val="664300"/>
                </a:solidFill>
              </a:rPr>
              <a:t>VALOR</a:t>
            </a:r>
            <a:r>
              <a:rPr lang="pt-BR" sz="1800" baseline="0">
                <a:solidFill>
                  <a:srgbClr val="664300"/>
                </a:solidFill>
              </a:rPr>
              <a:t> MÁXIMO</a:t>
            </a:r>
            <a:endParaRPr lang="pt-BR" sz="1800">
              <a:solidFill>
                <a:srgbClr val="664300"/>
              </a:solidFill>
            </a:endParaRPr>
          </a:p>
        </xdr:txBody>
      </xdr:sp>
    </xdr:grpSp>
    <xdr:clientData/>
  </xdr:twoCellAnchor>
  <xdr:twoCellAnchor editAs="absolute">
    <xdr:from>
      <xdr:col>5</xdr:col>
      <xdr:colOff>66675</xdr:colOff>
      <xdr:row>28</xdr:row>
      <xdr:rowOff>180975</xdr:rowOff>
    </xdr:from>
    <xdr:to>
      <xdr:col>8</xdr:col>
      <xdr:colOff>379875</xdr:colOff>
      <xdr:row>33</xdr:row>
      <xdr:rowOff>133126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63E260A4-E706-4B89-8D66-2E50EE55C2AD}"/>
            </a:ext>
          </a:extLst>
        </xdr:cNvPr>
        <xdr:cNvGrpSpPr/>
      </xdr:nvGrpSpPr>
      <xdr:grpSpPr>
        <a:xfrm>
          <a:off x="6315075" y="5524500"/>
          <a:ext cx="2142000" cy="904651"/>
          <a:chOff x="647700" y="295275"/>
          <a:chExt cx="2419350" cy="856231"/>
        </a:xfrm>
      </xdr:grpSpPr>
      <xdr:sp macro="" textlink="Notas!G14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E3F4F1A1-7DA4-6698-E3F6-0F9332F0B286}"/>
              </a:ext>
            </a:extLst>
          </xdr:cNvPr>
          <xdr:cNvSpPr/>
        </xdr:nvSpPr>
        <xdr:spPr>
          <a:xfrm>
            <a:off x="647700" y="322831"/>
            <a:ext cx="2419350" cy="828675"/>
          </a:xfrm>
          <a:prstGeom prst="roundRect">
            <a:avLst/>
          </a:prstGeom>
          <a:solidFill>
            <a:srgbClr val="E8E2C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BCEF254F-A931-4F50-BA96-EDDB4F3A1010}" type="TxLink">
              <a:rPr lang="en-US" sz="2400" b="1" i="0" u="none" strike="noStrike">
                <a:solidFill>
                  <a:srgbClr val="A87B05"/>
                </a:solidFill>
                <a:latin typeface="Aptos Narrow"/>
              </a:rPr>
              <a:t>R$ 2.246,25</a:t>
            </a:fld>
            <a:endParaRPr lang="pt-BR" sz="4800" b="1">
              <a:solidFill>
                <a:srgbClr val="A87B05"/>
              </a:solidFill>
            </a:endParaRPr>
          </a:p>
        </xdr:txBody>
      </xdr:sp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859C42EB-C8E6-B300-4529-C74D57316293}"/>
              </a:ext>
            </a:extLst>
          </xdr:cNvPr>
          <xdr:cNvSpPr/>
        </xdr:nvSpPr>
        <xdr:spPr>
          <a:xfrm>
            <a:off x="647700" y="295275"/>
            <a:ext cx="2419350" cy="381000"/>
          </a:xfrm>
          <a:prstGeom prst="round2SameRect">
            <a:avLst>
              <a:gd name="adj1" fmla="val 41667"/>
              <a:gd name="adj2" fmla="val 0"/>
            </a:avLst>
          </a:prstGeom>
          <a:solidFill>
            <a:srgbClr val="A87B0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800">
                <a:solidFill>
                  <a:srgbClr val="664300"/>
                </a:solidFill>
              </a:rPr>
              <a:t>VALOR MÉDIO</a:t>
            </a:r>
          </a:p>
        </xdr:txBody>
      </xdr:sp>
    </xdr:grpSp>
    <xdr:clientData/>
  </xdr:twoCellAnchor>
  <xdr:twoCellAnchor editAs="absolute">
    <xdr:from>
      <xdr:col>9</xdr:col>
      <xdr:colOff>28575</xdr:colOff>
      <xdr:row>23</xdr:row>
      <xdr:rowOff>85725</xdr:rowOff>
    </xdr:from>
    <xdr:to>
      <xdr:col>12</xdr:col>
      <xdr:colOff>342900</xdr:colOff>
      <xdr:row>28</xdr:row>
      <xdr:rowOff>18825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AC2D22D9-1867-4C16-9608-C49FAD900538}"/>
            </a:ext>
          </a:extLst>
        </xdr:cNvPr>
        <xdr:cNvGrpSpPr/>
      </xdr:nvGrpSpPr>
      <xdr:grpSpPr>
        <a:xfrm>
          <a:off x="8715375" y="4476750"/>
          <a:ext cx="2143125" cy="885600"/>
          <a:chOff x="647700" y="295275"/>
          <a:chExt cx="2419350" cy="838200"/>
        </a:xfrm>
      </xdr:grpSpPr>
      <xdr:sp macro="" textlink="Notas!G13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FB8B8D94-EA43-16AD-9156-BEF9EE5593B7}"/>
              </a:ext>
            </a:extLst>
          </xdr:cNvPr>
          <xdr:cNvSpPr/>
        </xdr:nvSpPr>
        <xdr:spPr>
          <a:xfrm>
            <a:off x="647700" y="304800"/>
            <a:ext cx="2419350" cy="828675"/>
          </a:xfrm>
          <a:prstGeom prst="roundRect">
            <a:avLst/>
          </a:prstGeom>
          <a:solidFill>
            <a:srgbClr val="E8E2C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ctr"/>
            <a:fld id="{FCBFAD00-59A0-43E6-8075-23A80D177FAF}" type="TxLink">
              <a:rPr lang="en-US" sz="2400" b="1" i="0" u="none" strike="noStrike">
                <a:solidFill>
                  <a:srgbClr val="A87B05"/>
                </a:solidFill>
                <a:effectLst/>
                <a:latin typeface="Aptos Narrow"/>
                <a:ea typeface="+mn-ea"/>
                <a:cs typeface="+mn-cs"/>
              </a:rPr>
              <a:t>R$ 270,00</a:t>
            </a:fld>
            <a:endParaRPr lang="pt-BR" sz="4800" b="1" i="0" u="none" strike="noStrike">
              <a:solidFill>
                <a:srgbClr val="A87B05"/>
              </a:solidFill>
              <a:effectLst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71A51CFD-CE97-2FCE-CF37-5773BF70D6AF}"/>
              </a:ext>
            </a:extLst>
          </xdr:cNvPr>
          <xdr:cNvSpPr/>
        </xdr:nvSpPr>
        <xdr:spPr>
          <a:xfrm>
            <a:off x="647700" y="295275"/>
            <a:ext cx="2419350" cy="381000"/>
          </a:xfrm>
          <a:prstGeom prst="round2SameRect">
            <a:avLst>
              <a:gd name="adj1" fmla="val 41667"/>
              <a:gd name="adj2" fmla="val 0"/>
            </a:avLst>
          </a:prstGeom>
          <a:solidFill>
            <a:srgbClr val="A87B0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800">
                <a:solidFill>
                  <a:srgbClr val="664300"/>
                </a:solidFill>
              </a:rPr>
              <a:t>VALOR</a:t>
            </a:r>
            <a:r>
              <a:rPr lang="pt-BR" sz="1800" baseline="0">
                <a:solidFill>
                  <a:srgbClr val="664300"/>
                </a:solidFill>
              </a:rPr>
              <a:t> MÍNIMO</a:t>
            </a:r>
            <a:endParaRPr lang="pt-BR" sz="1800">
              <a:solidFill>
                <a:srgbClr val="664300"/>
              </a:solidFill>
            </a:endParaRPr>
          </a:p>
        </xdr:txBody>
      </xdr:sp>
    </xdr:grpSp>
    <xdr:clientData/>
  </xdr:twoCellAnchor>
  <xdr:twoCellAnchor editAs="absolute">
    <xdr:from>
      <xdr:col>9</xdr:col>
      <xdr:colOff>28575</xdr:colOff>
      <xdr:row>29</xdr:row>
      <xdr:rowOff>0</xdr:rowOff>
    </xdr:from>
    <xdr:to>
      <xdr:col>12</xdr:col>
      <xdr:colOff>341775</xdr:colOff>
      <xdr:row>33</xdr:row>
      <xdr:rowOff>123600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FCF9ABE9-C91E-4E89-8CB9-4E63C67A14A4}"/>
            </a:ext>
          </a:extLst>
        </xdr:cNvPr>
        <xdr:cNvGrpSpPr/>
      </xdr:nvGrpSpPr>
      <xdr:grpSpPr>
        <a:xfrm>
          <a:off x="8715375" y="5534025"/>
          <a:ext cx="2142000" cy="885600"/>
          <a:chOff x="647700" y="295275"/>
          <a:chExt cx="2419350" cy="838200"/>
        </a:xfrm>
      </xdr:grpSpPr>
      <xdr:sp macro="" textlink="$C$31">
        <xdr:nvSpPr>
          <xdr:cNvPr id="24" name="Retângulo: Cantos Arredondados 23">
            <a:extLst>
              <a:ext uri="{FF2B5EF4-FFF2-40B4-BE49-F238E27FC236}">
                <a16:creationId xmlns:a16="http://schemas.microsoft.com/office/drawing/2014/main" id="{095F60A2-96C1-58BF-AB05-B0C2DF033357}"/>
              </a:ext>
            </a:extLst>
          </xdr:cNvPr>
          <xdr:cNvSpPr/>
        </xdr:nvSpPr>
        <xdr:spPr>
          <a:xfrm>
            <a:off x="647700" y="304800"/>
            <a:ext cx="2419350" cy="828675"/>
          </a:xfrm>
          <a:prstGeom prst="roundRect">
            <a:avLst/>
          </a:prstGeom>
          <a:solidFill>
            <a:srgbClr val="E8E2C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ctr"/>
            <a:fld id="{A33F9D82-898E-46F5-8D2A-236A22041267}" type="TxLink">
              <a:rPr lang="en-US" sz="2400" b="1" i="0" u="none" strike="noStrike">
                <a:solidFill>
                  <a:srgbClr val="A87B05"/>
                </a:solidFill>
                <a:effectLst/>
                <a:latin typeface="Aptos Narrow"/>
                <a:ea typeface="+mn-ea"/>
                <a:cs typeface="+mn-cs"/>
              </a:rPr>
              <a:t>CNPJ</a:t>
            </a:fld>
            <a:endParaRPr lang="pt-BR" sz="4800" b="1" i="0" u="none" strike="noStrike">
              <a:solidFill>
                <a:srgbClr val="A87B05"/>
              </a:solidFill>
              <a:effectLst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5" name="Retângulo: Cantos Superiores Arredondados 24">
            <a:extLst>
              <a:ext uri="{FF2B5EF4-FFF2-40B4-BE49-F238E27FC236}">
                <a16:creationId xmlns:a16="http://schemas.microsoft.com/office/drawing/2014/main" id="{6F002072-33C7-B088-9E2B-E4E6B0C1AA0C}"/>
              </a:ext>
            </a:extLst>
          </xdr:cNvPr>
          <xdr:cNvSpPr/>
        </xdr:nvSpPr>
        <xdr:spPr>
          <a:xfrm>
            <a:off x="647700" y="295275"/>
            <a:ext cx="2419350" cy="381000"/>
          </a:xfrm>
          <a:prstGeom prst="round2SameRect">
            <a:avLst>
              <a:gd name="adj1" fmla="val 41667"/>
              <a:gd name="adj2" fmla="val 0"/>
            </a:avLst>
          </a:prstGeom>
          <a:solidFill>
            <a:srgbClr val="A87B0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800">
                <a:solidFill>
                  <a:srgbClr val="664300"/>
                </a:solidFill>
              </a:rPr>
              <a:t>CATEGORIA LIDER</a:t>
            </a:r>
          </a:p>
        </xdr:txBody>
      </xdr:sp>
    </xdr:grpSp>
    <xdr:clientData/>
  </xdr:twoCellAnchor>
  <xdr:twoCellAnchor>
    <xdr:from>
      <xdr:col>0</xdr:col>
      <xdr:colOff>185738</xdr:colOff>
      <xdr:row>9</xdr:row>
      <xdr:rowOff>123825</xdr:rowOff>
    </xdr:from>
    <xdr:to>
      <xdr:col>0</xdr:col>
      <xdr:colOff>1300163</xdr:colOff>
      <xdr:row>15</xdr:row>
      <xdr:rowOff>85725</xdr:rowOff>
    </xdr:to>
    <xdr:grpSp>
      <xdr:nvGrpSpPr>
        <xdr:cNvPr id="30" name="Agrupar 2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BF0A6FD-EFD6-8730-835D-17D1DFC01632}"/>
            </a:ext>
          </a:extLst>
        </xdr:cNvPr>
        <xdr:cNvGrpSpPr/>
      </xdr:nvGrpSpPr>
      <xdr:grpSpPr>
        <a:xfrm>
          <a:off x="185738" y="1847850"/>
          <a:ext cx="1114425" cy="1104900"/>
          <a:chOff x="85725" y="1323975"/>
          <a:chExt cx="1114425" cy="1104900"/>
        </a:xfrm>
      </xdr:grpSpPr>
      <xdr:sp macro="" textlink="">
        <xdr:nvSpPr>
          <xdr:cNvPr id="27" name="Retângulo: Cantos Arredondados 26">
            <a:extLst>
              <a:ext uri="{FF2B5EF4-FFF2-40B4-BE49-F238E27FC236}">
                <a16:creationId xmlns:a16="http://schemas.microsoft.com/office/drawing/2014/main" id="{1563CFC3-DB8C-480F-B13B-F5304A99764F}"/>
              </a:ext>
            </a:extLst>
          </xdr:cNvPr>
          <xdr:cNvSpPr/>
        </xdr:nvSpPr>
        <xdr:spPr>
          <a:xfrm>
            <a:off x="85725" y="1323975"/>
            <a:ext cx="1114425" cy="1104900"/>
          </a:xfrm>
          <a:prstGeom prst="roundRect">
            <a:avLst/>
          </a:prstGeom>
          <a:solidFill>
            <a:srgbClr val="A87B05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400" b="1">
                <a:solidFill>
                  <a:srgbClr val="664300"/>
                </a:solidFill>
              </a:rPr>
              <a:t>VOLTAR</a:t>
            </a:r>
            <a:endParaRPr lang="pt-BR" sz="1100" b="1">
              <a:solidFill>
                <a:srgbClr val="664300"/>
              </a:solidFill>
            </a:endParaRPr>
          </a:p>
        </xdr:txBody>
      </xdr:sp>
      <xdr:pic>
        <xdr:nvPicPr>
          <xdr:cNvPr id="29" name="Gráfico 28" descr="Voltar com preenchimento sólido">
            <a:extLst>
              <a:ext uri="{FF2B5EF4-FFF2-40B4-BE49-F238E27FC236}">
                <a16:creationId xmlns:a16="http://schemas.microsoft.com/office/drawing/2014/main" id="{09D0DCE5-469B-B817-8800-ECBFA0E167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276225" y="1543050"/>
            <a:ext cx="790575" cy="790575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185738</xdr:colOff>
      <xdr:row>1</xdr:row>
      <xdr:rowOff>123825</xdr:rowOff>
    </xdr:from>
    <xdr:to>
      <xdr:col>0</xdr:col>
      <xdr:colOff>1300163</xdr:colOff>
      <xdr:row>7</xdr:row>
      <xdr:rowOff>76200</xdr:rowOff>
    </xdr:to>
    <xdr:grpSp>
      <xdr:nvGrpSpPr>
        <xdr:cNvPr id="37" name="Agrupar 3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24C0DF9-42AE-9639-D82A-ABC9C5B2D8BB}"/>
            </a:ext>
          </a:extLst>
        </xdr:cNvPr>
        <xdr:cNvGrpSpPr/>
      </xdr:nvGrpSpPr>
      <xdr:grpSpPr>
        <a:xfrm>
          <a:off x="185738" y="314325"/>
          <a:ext cx="1114425" cy="1104900"/>
          <a:chOff x="95250" y="447675"/>
          <a:chExt cx="1114425" cy="1104900"/>
        </a:xfrm>
      </xdr:grpSpPr>
      <xdr:sp macro="" textlink="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BE0579BD-5AF5-5DB9-9F67-EAB531B8EB6A}"/>
              </a:ext>
            </a:extLst>
          </xdr:cNvPr>
          <xdr:cNvSpPr/>
        </xdr:nvSpPr>
        <xdr:spPr>
          <a:xfrm>
            <a:off x="95250" y="447675"/>
            <a:ext cx="1114425" cy="1104900"/>
          </a:xfrm>
          <a:prstGeom prst="roundRect">
            <a:avLst/>
          </a:prstGeom>
          <a:solidFill>
            <a:srgbClr val="A87B05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400" b="1">
                <a:solidFill>
                  <a:srgbClr val="664300"/>
                </a:solidFill>
              </a:rPr>
              <a:t>INÌCIO</a:t>
            </a:r>
          </a:p>
        </xdr:txBody>
      </xdr:sp>
      <xdr:pic>
        <xdr:nvPicPr>
          <xdr:cNvPr id="32" name="Gráfico 31" descr="Casa com preenchimento sólido">
            <a:extLst>
              <a:ext uri="{FF2B5EF4-FFF2-40B4-BE49-F238E27FC236}">
                <a16:creationId xmlns:a16="http://schemas.microsoft.com/office/drawing/2014/main" id="{3651A3C8-9429-963C-2662-05CFC40D64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338137" y="790575"/>
            <a:ext cx="628650" cy="628650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95250</xdr:colOff>
      <xdr:row>32</xdr:row>
      <xdr:rowOff>180975</xdr:rowOff>
    </xdr:from>
    <xdr:to>
      <xdr:col>0</xdr:col>
      <xdr:colOff>1343025</xdr:colOff>
      <xdr:row>33</xdr:row>
      <xdr:rowOff>0</xdr:rowOff>
    </xdr:to>
    <xdr:cxnSp macro="">
      <xdr:nvCxnSpPr>
        <xdr:cNvPr id="33" name="Conector reto 32">
          <a:extLst>
            <a:ext uri="{FF2B5EF4-FFF2-40B4-BE49-F238E27FC236}">
              <a16:creationId xmlns:a16="http://schemas.microsoft.com/office/drawing/2014/main" id="{CE328744-220C-4E29-99DA-95AEE0ACBF7C}"/>
            </a:ext>
          </a:extLst>
        </xdr:cNvPr>
        <xdr:cNvCxnSpPr/>
      </xdr:nvCxnSpPr>
      <xdr:spPr>
        <a:xfrm flipV="1">
          <a:off x="95250" y="6286500"/>
          <a:ext cx="1247775" cy="9525"/>
        </a:xfrm>
        <a:prstGeom prst="line">
          <a:avLst/>
        </a:prstGeom>
        <a:ln>
          <a:solidFill>
            <a:srgbClr val="A87B05"/>
          </a:solidFill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icius Bortoluci" refreshedDate="46308.907552662036" createdVersion="8" refreshedVersion="8" minRefreshableVersion="3" recordCount="23" xr:uid="{E2F89F14-6194-4FD0-B271-96903F90D047}">
  <cacheSource type="worksheet">
    <worksheetSource name="tb_entradas"/>
  </cacheSource>
  <cacheFields count="3">
    <cacheField name="DATA" numFmtId="14">
      <sharedItems containsNonDate="0" containsDate="1" containsString="0" containsBlank="1" minDate="2026-10-12T00:00:00" maxDate="2026-10-23T00:00:00"/>
    </cacheField>
    <cacheField name="CATEGORIA" numFmtId="164">
      <sharedItems containsBlank="1" count="4">
        <s v="CNPJ"/>
        <s v="FREELANCE"/>
        <s v="HOLERITE"/>
        <m/>
      </sharedItems>
    </cacheField>
    <cacheField name="VALOR" numFmtId="167">
      <sharedItems containsString="0" containsBlank="1" containsNumber="1" containsInteger="1" minValue="27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d v="2026-10-12T00:00:00"/>
    <x v="0"/>
    <n v="3500"/>
  </r>
  <r>
    <d v="2026-10-13T00:00:00"/>
    <x v="1"/>
    <n v="5000"/>
  </r>
  <r>
    <d v="2026-10-15T00:00:00"/>
    <x v="1"/>
    <n v="270"/>
  </r>
  <r>
    <d v="2026-10-17T00:00:00"/>
    <x v="0"/>
    <n v="1420"/>
  </r>
  <r>
    <d v="2026-10-20T00:00:00"/>
    <x v="0"/>
    <n v="790"/>
  </r>
  <r>
    <d v="2026-10-21T00:00:00"/>
    <x v="2"/>
    <n v="890"/>
  </r>
  <r>
    <d v="2026-10-22T00:00:00"/>
    <x v="2"/>
    <n v="4000"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D6E428-2A12-49CD-94EC-E9863A4D62A3}" name="Tabela dinâmica1" cacheId="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25:D29" firstHeaderRow="1" firstDataRow="1" firstDataCol="1"/>
  <pivotFields count="3">
    <pivotField showAll="0"/>
    <pivotField axis="axisRow" dataField="1" showAll="0">
      <items count="5">
        <item x="0"/>
        <item x="1"/>
        <item x="2"/>
        <item h="1" x="3"/>
        <item t="default"/>
      </items>
    </pivotField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CATEGORIA2" fld="1" subtotal="count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6DA505-D9A6-45D5-A605-71F8697E2CCA}" name="tb_entradas" displayName="tb_entradas" ref="C8:E31" totalsRowShown="0" headerRowDxfId="22" dataDxfId="21">
  <autoFilter ref="C8:E31" xr:uid="{236DA505-D9A6-45D5-A605-71F8697E2CCA}"/>
  <tableColumns count="3">
    <tableColumn id="1" xr3:uid="{FBDF317D-E17F-4A93-815A-CB47759457E2}" name="DATA" dataDxfId="20"/>
    <tableColumn id="2" xr3:uid="{B24CD2EC-3B90-4749-BECB-291886619D76}" name="CATEGORIA" dataDxfId="19"/>
    <tableColumn id="3" xr3:uid="{6AED8E79-69DA-4994-82FB-AC2C93A1CEBA}" name="VALOR" dataDxfId="18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A69245-B3C4-4E99-A142-F670B6786F3D}" name="Planilha2__2" displayName="Planilha2__2" ref="A1:A51" totalsRowShown="0">
  <autoFilter ref="A1:A51" xr:uid="{7AA69245-B3C4-4E99-A142-F670B6786F3D}"/>
  <tableColumns count="1">
    <tableColumn id="1" xr3:uid="{2D889E1E-4556-48DC-8EBA-9E291B01E17F}" name="bancos" dataDxfId="23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4304C-C477-4514-B30B-765A3DA60817}">
  <sheetPr codeName="Planilha1">
    <tabColor rgb="FFA87B05"/>
  </sheetPr>
  <dimension ref="A1:H50"/>
  <sheetViews>
    <sheetView showGridLines="0" workbookViewId="0">
      <selection activeCell="F13" sqref="F13"/>
    </sheetView>
  </sheetViews>
  <sheetFormatPr defaultColWidth="0" defaultRowHeight="15" x14ac:dyDescent="0.25"/>
  <cols>
    <col min="1" max="1" width="32.7109375" customWidth="1"/>
    <col min="2" max="2" width="9.140625" customWidth="1"/>
    <col min="3" max="4" width="50.85546875" customWidth="1"/>
    <col min="5" max="8" width="9.140625" customWidth="1"/>
    <col min="9" max="16384" width="9.140625" hidden="1"/>
  </cols>
  <sheetData>
    <row r="1" spans="1:8" x14ac:dyDescent="0.25">
      <c r="A1" s="1"/>
      <c r="B1" s="4"/>
      <c r="C1" s="4"/>
      <c r="D1" s="4"/>
      <c r="E1" s="4"/>
      <c r="F1" s="4"/>
      <c r="G1" s="4"/>
      <c r="H1" s="4"/>
    </row>
    <row r="2" spans="1:8" x14ac:dyDescent="0.25">
      <c r="A2" s="1"/>
      <c r="B2" s="4"/>
      <c r="C2" s="4"/>
      <c r="D2" s="4"/>
      <c r="E2" s="4"/>
      <c r="F2" s="4"/>
      <c r="G2" s="4"/>
      <c r="H2" s="4"/>
    </row>
    <row r="3" spans="1:8" ht="15.75" thickBot="1" x14ac:dyDescent="0.3">
      <c r="A3" s="1"/>
      <c r="B3" s="4"/>
      <c r="C3" s="11" t="s">
        <v>12</v>
      </c>
      <c r="D3" s="12"/>
      <c r="E3" s="4"/>
      <c r="F3" s="4"/>
      <c r="G3" s="4"/>
      <c r="H3" s="4"/>
    </row>
    <row r="4" spans="1:8" ht="15.75" thickTop="1" x14ac:dyDescent="0.25">
      <c r="A4" s="1"/>
      <c r="B4" s="4"/>
      <c r="C4" s="18" t="s">
        <v>13</v>
      </c>
      <c r="D4" s="10"/>
      <c r="E4" s="4"/>
      <c r="F4" s="4"/>
      <c r="G4" s="4"/>
      <c r="H4" s="4"/>
    </row>
    <row r="5" spans="1:8" x14ac:dyDescent="0.25">
      <c r="A5" s="1"/>
      <c r="B5" s="4"/>
      <c r="C5" s="4"/>
      <c r="D5" s="4"/>
      <c r="E5" s="4"/>
      <c r="F5" s="4"/>
      <c r="G5" s="4"/>
      <c r="H5" s="4"/>
    </row>
    <row r="6" spans="1:8" x14ac:dyDescent="0.25">
      <c r="A6" s="1"/>
      <c r="B6" s="4"/>
      <c r="C6" s="7" t="s">
        <v>0</v>
      </c>
      <c r="D6" s="27" t="s">
        <v>85</v>
      </c>
      <c r="E6" s="4"/>
      <c r="F6" s="4"/>
      <c r="G6" s="4"/>
      <c r="H6" s="4"/>
    </row>
    <row r="7" spans="1:8" x14ac:dyDescent="0.25">
      <c r="A7" s="1"/>
      <c r="B7" s="4"/>
      <c r="C7" s="8" t="s">
        <v>1</v>
      </c>
      <c r="D7" s="28">
        <v>12312312312</v>
      </c>
      <c r="E7" s="4"/>
      <c r="F7" s="4"/>
      <c r="G7" s="4"/>
      <c r="H7" s="4"/>
    </row>
    <row r="8" spans="1:8" x14ac:dyDescent="0.25">
      <c r="A8" s="1"/>
      <c r="B8" s="4"/>
      <c r="C8" s="8" t="s">
        <v>2</v>
      </c>
      <c r="D8" s="29">
        <v>46307</v>
      </c>
      <c r="E8" s="4"/>
      <c r="F8" s="4"/>
      <c r="G8" s="4"/>
      <c r="H8" s="4"/>
    </row>
    <row r="9" spans="1:8" x14ac:dyDescent="0.25">
      <c r="A9" s="1"/>
      <c r="B9" s="4"/>
      <c r="C9" s="8" t="s">
        <v>3</v>
      </c>
      <c r="D9" s="30" t="s">
        <v>16</v>
      </c>
      <c r="E9" s="4"/>
      <c r="F9" s="4"/>
      <c r="G9" s="4"/>
      <c r="H9" s="4"/>
    </row>
    <row r="10" spans="1:8" x14ac:dyDescent="0.25">
      <c r="A10" s="1"/>
      <c r="B10" s="4"/>
      <c r="C10" s="8" t="s">
        <v>4</v>
      </c>
      <c r="D10" s="30"/>
      <c r="E10" s="4"/>
      <c r="F10" s="4"/>
      <c r="G10" s="4"/>
      <c r="H10" s="4"/>
    </row>
    <row r="11" spans="1:8" x14ac:dyDescent="0.25">
      <c r="A11" s="1"/>
      <c r="B11" s="4"/>
      <c r="C11" s="8" t="s">
        <v>5</v>
      </c>
      <c r="D11" s="30"/>
      <c r="E11" s="4"/>
      <c r="F11" s="4"/>
      <c r="G11" s="4"/>
      <c r="H11" s="4"/>
    </row>
    <row r="12" spans="1:8" x14ac:dyDescent="0.25">
      <c r="A12" s="1"/>
      <c r="B12" s="4"/>
      <c r="C12" s="8" t="s">
        <v>6</v>
      </c>
      <c r="D12" s="31">
        <v>1212312</v>
      </c>
      <c r="E12" s="4"/>
      <c r="F12" s="4"/>
      <c r="G12" s="4"/>
      <c r="H12" s="4"/>
    </row>
    <row r="13" spans="1:8" x14ac:dyDescent="0.25">
      <c r="A13" s="2"/>
      <c r="B13" s="4"/>
      <c r="C13" s="8" t="s">
        <v>86</v>
      </c>
      <c r="D13" s="32"/>
      <c r="E13" s="4"/>
      <c r="F13" s="38"/>
      <c r="G13" s="4"/>
      <c r="H13" s="4"/>
    </row>
    <row r="14" spans="1:8" x14ac:dyDescent="0.25">
      <c r="A14" s="1"/>
      <c r="B14" s="4"/>
      <c r="C14" s="8" t="s">
        <v>7</v>
      </c>
      <c r="D14" s="32">
        <v>32912349876</v>
      </c>
      <c r="E14" s="4"/>
      <c r="F14" s="4"/>
      <c r="G14" s="4"/>
      <c r="H14" s="4"/>
    </row>
    <row r="15" spans="1:8" x14ac:dyDescent="0.25">
      <c r="A15" s="1"/>
      <c r="B15" s="4"/>
      <c r="C15" s="8" t="s">
        <v>8</v>
      </c>
      <c r="D15" s="33" t="s">
        <v>17</v>
      </c>
      <c r="E15" s="4"/>
      <c r="F15" s="4"/>
      <c r="G15" s="4"/>
      <c r="H15" s="4"/>
    </row>
    <row r="16" spans="1:8" x14ac:dyDescent="0.25">
      <c r="A16" s="1"/>
      <c r="B16" s="4"/>
      <c r="C16" s="8" t="s">
        <v>9</v>
      </c>
      <c r="D16" s="30" t="s">
        <v>14</v>
      </c>
      <c r="E16" s="4"/>
      <c r="F16" s="4"/>
      <c r="G16" s="4"/>
      <c r="H16" s="4"/>
    </row>
    <row r="17" spans="1:8" x14ac:dyDescent="0.25">
      <c r="A17" s="1"/>
      <c r="B17" s="4"/>
      <c r="C17" s="8" t="s">
        <v>10</v>
      </c>
      <c r="D17" s="30" t="s">
        <v>15</v>
      </c>
      <c r="E17" s="4"/>
      <c r="F17" s="4"/>
      <c r="G17" s="4"/>
      <c r="H17" s="4"/>
    </row>
    <row r="18" spans="1:8" x14ac:dyDescent="0.25">
      <c r="A18" s="1"/>
      <c r="B18" s="4"/>
      <c r="C18" s="9" t="s">
        <v>11</v>
      </c>
      <c r="D18" s="34" t="s">
        <v>15</v>
      </c>
      <c r="E18" s="4"/>
      <c r="F18" s="4"/>
      <c r="G18" s="4"/>
      <c r="H18" s="4"/>
    </row>
    <row r="19" spans="1:8" x14ac:dyDescent="0.25">
      <c r="A19" s="1"/>
      <c r="B19" s="4"/>
      <c r="C19" s="4"/>
      <c r="D19" s="4"/>
      <c r="E19" s="4"/>
      <c r="F19" s="4"/>
      <c r="G19" s="4"/>
      <c r="H19" s="4"/>
    </row>
    <row r="20" spans="1:8" x14ac:dyDescent="0.25">
      <c r="A20" s="1"/>
      <c r="B20" s="4"/>
      <c r="C20" s="4"/>
      <c r="D20" s="4"/>
      <c r="E20" s="4"/>
      <c r="F20" s="4"/>
      <c r="G20" s="4"/>
      <c r="H20" s="4"/>
    </row>
    <row r="21" spans="1:8" x14ac:dyDescent="0.25">
      <c r="A21" s="1"/>
      <c r="B21" s="4"/>
      <c r="C21" s="4"/>
      <c r="D21" s="4"/>
      <c r="E21" s="4"/>
      <c r="F21" s="4"/>
      <c r="G21" s="4"/>
      <c r="H21" s="4"/>
    </row>
    <row r="22" spans="1:8" x14ac:dyDescent="0.25">
      <c r="A22" s="1"/>
      <c r="B22" s="4"/>
      <c r="C22" s="4"/>
      <c r="D22" s="4"/>
      <c r="E22" s="4"/>
      <c r="F22" s="4"/>
      <c r="G22" s="4"/>
      <c r="H22" s="4"/>
    </row>
    <row r="23" spans="1:8" x14ac:dyDescent="0.25">
      <c r="A23" s="1"/>
      <c r="B23" s="4"/>
      <c r="C23" s="4"/>
      <c r="D23" s="4"/>
      <c r="E23" s="4"/>
      <c r="F23" s="4"/>
      <c r="G23" s="4"/>
      <c r="H23" s="4"/>
    </row>
    <row r="24" spans="1:8" x14ac:dyDescent="0.25">
      <c r="A24" s="1"/>
      <c r="B24" s="4"/>
      <c r="C24" s="4"/>
      <c r="D24" s="4"/>
      <c r="E24" s="4"/>
      <c r="F24" s="4"/>
      <c r="G24" s="4"/>
      <c r="H24" s="4"/>
    </row>
    <row r="25" spans="1:8" s="49" customFormat="1" x14ac:dyDescent="0.25">
      <c r="A25" s="47"/>
      <c r="B25" s="48"/>
      <c r="C25" s="48"/>
      <c r="D25" s="48"/>
      <c r="E25" s="48"/>
      <c r="F25" s="48"/>
      <c r="G25" s="48"/>
      <c r="H25" s="48"/>
    </row>
    <row r="26" spans="1:8" x14ac:dyDescent="0.25">
      <c r="A26" s="1"/>
      <c r="B26" s="4"/>
      <c r="C26" s="4"/>
      <c r="D26" s="4"/>
      <c r="E26" s="4"/>
      <c r="F26" s="4"/>
      <c r="G26" s="4"/>
      <c r="H26" s="4"/>
    </row>
    <row r="27" spans="1:8" x14ac:dyDescent="0.25">
      <c r="A27" s="3" t="s">
        <v>87</v>
      </c>
      <c r="B27" s="4"/>
      <c r="C27" s="4"/>
      <c r="D27" s="4"/>
      <c r="E27" s="4"/>
      <c r="F27" s="4"/>
      <c r="G27" s="4"/>
      <c r="H27" s="4"/>
    </row>
    <row r="28" spans="1:8" x14ac:dyDescent="0.25">
      <c r="A28" s="1"/>
      <c r="B28" s="4"/>
      <c r="C28" s="4"/>
      <c r="D28" s="4"/>
      <c r="E28" s="4"/>
      <c r="F28" s="4"/>
      <c r="G28" s="4"/>
      <c r="H28" s="4"/>
    </row>
    <row r="29" spans="1:8" x14ac:dyDescent="0.25">
      <c r="A29" s="1"/>
      <c r="B29" s="4"/>
      <c r="C29" s="4"/>
      <c r="D29" s="4"/>
      <c r="E29" s="4"/>
      <c r="F29" s="4"/>
      <c r="G29" s="4"/>
      <c r="H29" s="4"/>
    </row>
    <row r="30" spans="1:8" x14ac:dyDescent="0.25">
      <c r="A30" s="1"/>
      <c r="B30" s="4"/>
      <c r="C30" s="4"/>
      <c r="D30" s="4"/>
      <c r="E30" s="4"/>
      <c r="F30" s="4"/>
      <c r="G30" s="4"/>
      <c r="H30" s="4"/>
    </row>
    <row r="31" spans="1:8" x14ac:dyDescent="0.25">
      <c r="A31" s="1"/>
      <c r="B31" s="4"/>
      <c r="C31" s="4"/>
      <c r="D31" s="4"/>
      <c r="E31" s="4"/>
      <c r="F31" s="4"/>
      <c r="G31" s="4"/>
      <c r="H31" s="4"/>
    </row>
    <row r="32" spans="1:8" x14ac:dyDescent="0.25">
      <c r="A32" s="1"/>
      <c r="B32" s="4"/>
      <c r="C32" s="4"/>
      <c r="D32" s="4"/>
      <c r="E32" s="4"/>
      <c r="F32" s="4"/>
      <c r="G32" s="4"/>
      <c r="H32" s="4"/>
    </row>
    <row r="33" spans="1:8" x14ac:dyDescent="0.25">
      <c r="A33" s="1"/>
      <c r="B33" s="4"/>
      <c r="C33" s="4"/>
      <c r="D33" s="4"/>
      <c r="E33" s="4"/>
      <c r="F33" s="4"/>
      <c r="G33" s="4"/>
      <c r="H33" s="4"/>
    </row>
    <row r="34" spans="1:8" x14ac:dyDescent="0.25">
      <c r="A34" s="1"/>
      <c r="B34" s="4"/>
      <c r="C34" s="4"/>
      <c r="D34" s="4"/>
      <c r="E34" s="4"/>
      <c r="F34" s="4"/>
      <c r="G34" s="4"/>
      <c r="H34" s="4"/>
    </row>
    <row r="35" spans="1:8" x14ac:dyDescent="0.25">
      <c r="A35" s="1"/>
      <c r="B35" s="4"/>
      <c r="C35" s="4"/>
      <c r="D35" s="4"/>
      <c r="E35" s="4"/>
      <c r="F35" s="4"/>
      <c r="G35" s="4"/>
      <c r="H35" s="4"/>
    </row>
    <row r="36" spans="1:8" x14ac:dyDescent="0.25">
      <c r="A36" s="1"/>
      <c r="B36" s="4"/>
      <c r="C36" s="4"/>
      <c r="D36" s="4"/>
      <c r="E36" s="4"/>
      <c r="F36" s="4"/>
      <c r="G36" s="4"/>
      <c r="H36" s="4"/>
    </row>
    <row r="37" spans="1:8" x14ac:dyDescent="0.25">
      <c r="A37" s="1"/>
      <c r="B37" s="4"/>
      <c r="C37" s="4"/>
      <c r="D37" s="4"/>
      <c r="E37" s="4"/>
      <c r="F37" s="4"/>
      <c r="G37" s="4"/>
      <c r="H37" s="4"/>
    </row>
    <row r="38" spans="1:8" x14ac:dyDescent="0.25">
      <c r="A38" s="1"/>
      <c r="B38" s="4"/>
      <c r="C38" s="4"/>
      <c r="D38" s="4"/>
      <c r="E38" s="4"/>
      <c r="F38" s="4"/>
      <c r="G38" s="4"/>
      <c r="H38" s="4"/>
    </row>
    <row r="39" spans="1:8" x14ac:dyDescent="0.25">
      <c r="A39" s="1"/>
      <c r="B39" s="4"/>
      <c r="C39" s="4"/>
      <c r="D39" s="4"/>
      <c r="E39" s="4"/>
      <c r="F39" s="4"/>
      <c r="G39" s="4"/>
      <c r="H39" s="4"/>
    </row>
    <row r="40" spans="1:8" x14ac:dyDescent="0.25">
      <c r="A40" s="1"/>
      <c r="B40" s="4"/>
      <c r="C40" s="4"/>
      <c r="D40" s="4"/>
      <c r="E40" s="4"/>
      <c r="F40" s="4"/>
      <c r="G40" s="4"/>
      <c r="H40" s="4"/>
    </row>
    <row r="41" spans="1:8" x14ac:dyDescent="0.25">
      <c r="A41" s="1"/>
      <c r="B41" s="4"/>
      <c r="C41" s="4"/>
      <c r="D41" s="4"/>
      <c r="E41" s="4"/>
      <c r="F41" s="4"/>
      <c r="G41" s="4"/>
      <c r="H41" s="4"/>
    </row>
    <row r="42" spans="1:8" x14ac:dyDescent="0.25">
      <c r="A42" s="1"/>
      <c r="B42" s="4"/>
      <c r="C42" s="4"/>
      <c r="D42" s="4"/>
      <c r="E42" s="4"/>
      <c r="F42" s="4"/>
      <c r="G42" s="4"/>
      <c r="H42" s="4"/>
    </row>
    <row r="43" spans="1:8" x14ac:dyDescent="0.25">
      <c r="A43" s="1"/>
      <c r="B43" s="4"/>
      <c r="C43" s="4"/>
      <c r="D43" s="4"/>
      <c r="E43" s="4"/>
      <c r="F43" s="4"/>
      <c r="G43" s="4"/>
      <c r="H43" s="4"/>
    </row>
    <row r="44" spans="1:8" x14ac:dyDescent="0.25">
      <c r="A44" s="1"/>
      <c r="B44" s="4"/>
      <c r="C44" s="4"/>
      <c r="D44" s="4"/>
      <c r="E44" s="4"/>
      <c r="F44" s="4"/>
      <c r="G44" s="4"/>
      <c r="H44" s="4"/>
    </row>
    <row r="45" spans="1:8" x14ac:dyDescent="0.25">
      <c r="A45" s="1"/>
      <c r="B45" s="4"/>
      <c r="C45" s="4"/>
      <c r="D45" s="4"/>
      <c r="E45" s="4"/>
      <c r="F45" s="4"/>
      <c r="G45" s="4"/>
      <c r="H45" s="4"/>
    </row>
    <row r="46" spans="1:8" x14ac:dyDescent="0.25">
      <c r="A46" s="1"/>
      <c r="B46" s="4"/>
      <c r="C46" s="4"/>
      <c r="D46" s="4"/>
      <c r="E46" s="4"/>
      <c r="F46" s="4"/>
      <c r="G46" s="4"/>
      <c r="H46" s="4"/>
    </row>
    <row r="47" spans="1:8" x14ac:dyDescent="0.25">
      <c r="A47" s="1"/>
      <c r="B47" s="4"/>
      <c r="C47" s="4"/>
      <c r="D47" s="4"/>
      <c r="E47" s="4"/>
      <c r="F47" s="4"/>
      <c r="G47" s="4"/>
      <c r="H47" s="4"/>
    </row>
    <row r="48" spans="1:8" x14ac:dyDescent="0.25">
      <c r="A48" s="1"/>
      <c r="B48" s="4"/>
      <c r="C48" s="4"/>
      <c r="D48" s="4"/>
      <c r="E48" s="4"/>
      <c r="F48" s="4"/>
      <c r="G48" s="4"/>
      <c r="H48" s="4"/>
    </row>
    <row r="49" spans="1:8" x14ac:dyDescent="0.25">
      <c r="A49" s="1"/>
      <c r="B49" s="4"/>
      <c r="C49" s="4"/>
      <c r="D49" s="4"/>
      <c r="E49" s="4"/>
      <c r="F49" s="4"/>
      <c r="G49" s="4"/>
      <c r="H49" s="4"/>
    </row>
    <row r="50" spans="1:8" x14ac:dyDescent="0.25">
      <c r="A50" s="1"/>
      <c r="B50" s="4"/>
      <c r="C50" s="4"/>
      <c r="D50" s="4"/>
      <c r="E50" s="4"/>
      <c r="F50" s="4"/>
      <c r="G50" s="4"/>
      <c r="H50" s="4"/>
    </row>
  </sheetData>
  <dataValidations count="1">
    <dataValidation type="list" allowBlank="1" showInputMessage="1" showErrorMessage="1" sqref="D16:D18" xr:uid="{D740E4BE-74E3-4D2E-832F-B6D6BB4A8268}">
      <formula1>"SIM, 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115DE-041A-46C8-9739-BF99A8F6A092}">
  <sheetPr codeName="Planilha2">
    <tabColor rgb="FFA87B05"/>
  </sheetPr>
  <dimension ref="A1:J50"/>
  <sheetViews>
    <sheetView showGridLines="0" workbookViewId="0">
      <selection activeCell="G6" sqref="G6"/>
    </sheetView>
  </sheetViews>
  <sheetFormatPr defaultColWidth="0" defaultRowHeight="15" x14ac:dyDescent="0.25"/>
  <cols>
    <col min="1" max="1" width="32.7109375" customWidth="1"/>
    <col min="2" max="2" width="9.140625" customWidth="1"/>
    <col min="3" max="4" width="50.85546875" customWidth="1"/>
    <col min="5" max="7" width="9.140625" customWidth="1"/>
    <col min="8" max="10" width="0" hidden="1" customWidth="1"/>
    <col min="11" max="16384" width="9.140625" hidden="1"/>
  </cols>
  <sheetData>
    <row r="1" spans="1:7" x14ac:dyDescent="0.25">
      <c r="A1" s="1"/>
      <c r="B1" s="4"/>
      <c r="C1" s="4"/>
      <c r="D1" s="4"/>
      <c r="E1" s="4"/>
      <c r="F1" s="4"/>
      <c r="G1" s="4"/>
    </row>
    <row r="2" spans="1:7" x14ac:dyDescent="0.25">
      <c r="A2" s="1"/>
      <c r="B2" s="4"/>
      <c r="C2" s="4"/>
      <c r="D2" s="4"/>
      <c r="E2" s="4"/>
      <c r="F2" s="4"/>
      <c r="G2" s="4"/>
    </row>
    <row r="3" spans="1:7" ht="15.75" thickBot="1" x14ac:dyDescent="0.3">
      <c r="A3" s="1"/>
      <c r="B3" s="4"/>
      <c r="C3" s="11" t="s">
        <v>18</v>
      </c>
      <c r="D3" s="12"/>
      <c r="E3" s="4"/>
      <c r="F3" s="4"/>
      <c r="G3" s="4"/>
    </row>
    <row r="4" spans="1:7" ht="15.75" thickTop="1" x14ac:dyDescent="0.25">
      <c r="A4" s="1"/>
      <c r="B4" s="4"/>
      <c r="C4" s="18" t="s">
        <v>73</v>
      </c>
      <c r="D4" s="10"/>
      <c r="E4" s="4"/>
      <c r="F4" s="4"/>
      <c r="G4" s="4"/>
    </row>
    <row r="5" spans="1:7" x14ac:dyDescent="0.25">
      <c r="A5" s="1"/>
      <c r="B5" s="4"/>
      <c r="C5" s="4"/>
      <c r="D5" s="4"/>
      <c r="E5" s="4"/>
      <c r="F5" s="4"/>
      <c r="G5" s="4"/>
    </row>
    <row r="6" spans="1:7" x14ac:dyDescent="0.25">
      <c r="A6" s="1"/>
      <c r="B6" s="4"/>
      <c r="C6" s="51" t="s">
        <v>95</v>
      </c>
      <c r="D6" s="52">
        <f>SUM(D10,D15,D20,D25,D30)</f>
        <v>1250000</v>
      </c>
      <c r="E6" s="4"/>
      <c r="F6" s="4"/>
      <c r="G6" s="4"/>
    </row>
    <row r="7" spans="1:7" x14ac:dyDescent="0.25">
      <c r="A7" s="1"/>
      <c r="B7" s="4"/>
      <c r="C7" s="4"/>
      <c r="D7" s="4"/>
      <c r="E7" s="4"/>
      <c r="F7" s="4"/>
      <c r="G7" s="4"/>
    </row>
    <row r="8" spans="1:7" x14ac:dyDescent="0.25">
      <c r="A8" s="1"/>
      <c r="B8" s="4"/>
      <c r="C8" s="5" t="s">
        <v>74</v>
      </c>
      <c r="D8" s="4"/>
      <c r="E8" s="4"/>
      <c r="F8" s="4"/>
      <c r="G8" s="4"/>
    </row>
    <row r="9" spans="1:7" x14ac:dyDescent="0.25">
      <c r="A9" s="1"/>
      <c r="B9" s="4"/>
      <c r="C9" s="14" t="s">
        <v>19</v>
      </c>
      <c r="D9" s="15" t="s">
        <v>32</v>
      </c>
      <c r="E9" s="4"/>
      <c r="F9" s="4"/>
      <c r="G9" s="4"/>
    </row>
    <row r="10" spans="1:7" x14ac:dyDescent="0.25">
      <c r="A10" s="1"/>
      <c r="B10" s="4"/>
      <c r="C10" s="14" t="s">
        <v>20</v>
      </c>
      <c r="D10" s="16">
        <v>250000</v>
      </c>
      <c r="E10" s="4"/>
      <c r="F10" s="4"/>
      <c r="G10" s="4"/>
    </row>
    <row r="11" spans="1:7" x14ac:dyDescent="0.25">
      <c r="A11" s="1"/>
      <c r="B11" s="4"/>
      <c r="C11" s="14" t="s">
        <v>21</v>
      </c>
      <c r="D11" s="17"/>
      <c r="E11" s="4"/>
      <c r="F11" s="4"/>
      <c r="G11" s="4"/>
    </row>
    <row r="12" spans="1:7" x14ac:dyDescent="0.25">
      <c r="A12" s="1"/>
      <c r="B12" s="4"/>
      <c r="C12" s="13"/>
      <c r="D12" s="5"/>
      <c r="E12" s="4"/>
      <c r="F12" s="4"/>
      <c r="G12" s="4"/>
    </row>
    <row r="13" spans="1:7" x14ac:dyDescent="0.25">
      <c r="A13" s="2"/>
      <c r="B13" s="4"/>
      <c r="C13" s="5" t="s">
        <v>75</v>
      </c>
      <c r="D13" s="4"/>
      <c r="E13" s="4"/>
      <c r="F13" s="4"/>
      <c r="G13" s="4"/>
    </row>
    <row r="14" spans="1:7" x14ac:dyDescent="0.25">
      <c r="A14" s="1"/>
      <c r="B14" s="4"/>
      <c r="C14" s="14" t="s">
        <v>19</v>
      </c>
      <c r="D14" s="15" t="s">
        <v>27</v>
      </c>
      <c r="E14" s="4"/>
      <c r="F14" s="4"/>
      <c r="G14" s="4"/>
    </row>
    <row r="15" spans="1:7" x14ac:dyDescent="0.25">
      <c r="A15" s="1"/>
      <c r="B15" s="4"/>
      <c r="C15" s="14" t="s">
        <v>20</v>
      </c>
      <c r="D15" s="16">
        <v>250000</v>
      </c>
      <c r="E15" s="4"/>
      <c r="F15" s="4"/>
      <c r="G15" s="4"/>
    </row>
    <row r="16" spans="1:7" x14ac:dyDescent="0.25">
      <c r="A16" s="1"/>
      <c r="B16" s="4"/>
      <c r="C16" s="14" t="s">
        <v>21</v>
      </c>
      <c r="D16" s="17"/>
      <c r="E16" s="4"/>
      <c r="F16" s="4"/>
      <c r="G16" s="4"/>
    </row>
    <row r="17" spans="1:7" x14ac:dyDescent="0.25">
      <c r="A17" s="1"/>
      <c r="B17" s="4"/>
      <c r="C17" s="13"/>
      <c r="D17" s="6"/>
      <c r="E17" s="4"/>
      <c r="F17" s="4"/>
      <c r="G17" s="4"/>
    </row>
    <row r="18" spans="1:7" x14ac:dyDescent="0.25">
      <c r="A18" s="1"/>
      <c r="B18" s="4"/>
      <c r="C18" s="5" t="s">
        <v>76</v>
      </c>
      <c r="D18" s="4"/>
      <c r="E18" s="4"/>
      <c r="F18" s="4"/>
      <c r="G18" s="4"/>
    </row>
    <row r="19" spans="1:7" x14ac:dyDescent="0.25">
      <c r="A19" s="1"/>
      <c r="B19" s="4"/>
      <c r="C19" s="14" t="s">
        <v>19</v>
      </c>
      <c r="D19" s="15" t="s">
        <v>39</v>
      </c>
      <c r="E19" s="4"/>
      <c r="F19" s="4"/>
      <c r="G19" s="4"/>
    </row>
    <row r="20" spans="1:7" x14ac:dyDescent="0.25">
      <c r="A20" s="1"/>
      <c r="B20" s="4"/>
      <c r="C20" s="14" t="s">
        <v>20</v>
      </c>
      <c r="D20" s="16">
        <v>250000</v>
      </c>
      <c r="E20" s="4"/>
      <c r="F20" s="4"/>
      <c r="G20" s="4"/>
    </row>
    <row r="21" spans="1:7" x14ac:dyDescent="0.25">
      <c r="A21" s="1"/>
      <c r="B21" s="4"/>
      <c r="C21" s="14" t="s">
        <v>21</v>
      </c>
      <c r="D21" s="17"/>
      <c r="E21" s="4"/>
      <c r="F21" s="4"/>
      <c r="G21" s="4"/>
    </row>
    <row r="22" spans="1:7" x14ac:dyDescent="0.25">
      <c r="A22" s="1"/>
      <c r="B22" s="4"/>
      <c r="C22" s="4"/>
      <c r="D22" s="4"/>
      <c r="E22" s="4"/>
      <c r="F22" s="4"/>
      <c r="G22" s="4"/>
    </row>
    <row r="23" spans="1:7" x14ac:dyDescent="0.25">
      <c r="A23" s="1"/>
      <c r="B23" s="4"/>
      <c r="C23" s="5" t="s">
        <v>77</v>
      </c>
      <c r="D23" s="4"/>
      <c r="E23" s="4"/>
      <c r="F23" s="4"/>
      <c r="G23" s="4"/>
    </row>
    <row r="24" spans="1:7" x14ac:dyDescent="0.25">
      <c r="A24" s="1"/>
      <c r="B24" s="4"/>
      <c r="C24" s="14" t="s">
        <v>19</v>
      </c>
      <c r="D24" s="15" t="s">
        <v>47</v>
      </c>
      <c r="E24" s="4"/>
      <c r="F24" s="4"/>
      <c r="G24" s="4"/>
    </row>
    <row r="25" spans="1:7" x14ac:dyDescent="0.25">
      <c r="A25" s="47"/>
      <c r="B25" s="48"/>
      <c r="C25" s="14" t="s">
        <v>20</v>
      </c>
      <c r="D25" s="16">
        <v>250000</v>
      </c>
      <c r="E25" s="4"/>
      <c r="F25" s="4"/>
      <c r="G25" s="4"/>
    </row>
    <row r="26" spans="1:7" x14ac:dyDescent="0.25">
      <c r="A26" s="1"/>
      <c r="B26" s="4"/>
      <c r="C26" s="14" t="s">
        <v>21</v>
      </c>
      <c r="D26" s="17"/>
      <c r="E26" s="4"/>
      <c r="F26" s="4"/>
      <c r="G26" s="4"/>
    </row>
    <row r="27" spans="1:7" x14ac:dyDescent="0.25">
      <c r="A27" s="3" t="s">
        <v>87</v>
      </c>
      <c r="B27" s="4"/>
      <c r="C27" s="4"/>
      <c r="D27" s="4"/>
      <c r="E27" s="4"/>
      <c r="F27" s="4"/>
      <c r="G27" s="4"/>
    </row>
    <row r="28" spans="1:7" x14ac:dyDescent="0.25">
      <c r="A28" s="1"/>
      <c r="B28" s="4"/>
      <c r="C28" s="5" t="s">
        <v>78</v>
      </c>
      <c r="D28" s="4"/>
      <c r="E28" s="4"/>
      <c r="F28" s="4"/>
      <c r="G28" s="4"/>
    </row>
    <row r="29" spans="1:7" x14ac:dyDescent="0.25">
      <c r="A29" s="1"/>
      <c r="B29" s="4"/>
      <c r="C29" s="14" t="s">
        <v>19</v>
      </c>
      <c r="D29" s="15" t="s">
        <v>24</v>
      </c>
      <c r="E29" s="4"/>
      <c r="F29" s="4"/>
      <c r="G29" s="4"/>
    </row>
    <row r="30" spans="1:7" x14ac:dyDescent="0.25">
      <c r="A30" s="1"/>
      <c r="B30" s="4"/>
      <c r="C30" s="14" t="s">
        <v>20</v>
      </c>
      <c r="D30" s="16">
        <v>250000</v>
      </c>
      <c r="E30" s="4"/>
      <c r="F30" s="4"/>
      <c r="G30" s="4"/>
    </row>
    <row r="31" spans="1:7" x14ac:dyDescent="0.25">
      <c r="A31" s="1"/>
      <c r="B31" s="4"/>
      <c r="C31" s="14" t="s">
        <v>21</v>
      </c>
      <c r="D31" s="17"/>
      <c r="E31" s="4"/>
      <c r="F31" s="4"/>
      <c r="G31" s="4"/>
    </row>
    <row r="32" spans="1:7" x14ac:dyDescent="0.25">
      <c r="A32" s="1"/>
      <c r="B32" s="4"/>
      <c r="C32" s="4"/>
      <c r="D32" s="4"/>
      <c r="E32" s="4"/>
      <c r="F32" s="4"/>
      <c r="G32" s="4"/>
    </row>
    <row r="33" spans="1:7" x14ac:dyDescent="0.25">
      <c r="A33" s="1"/>
      <c r="B33" s="4"/>
      <c r="C33" s="4"/>
      <c r="D33" s="4"/>
      <c r="E33" s="4"/>
      <c r="F33" s="4"/>
      <c r="G33" s="4"/>
    </row>
    <row r="34" spans="1:7" x14ac:dyDescent="0.25">
      <c r="A34" s="1"/>
      <c r="B34" s="4"/>
      <c r="C34" s="4"/>
      <c r="D34" s="4"/>
      <c r="E34" s="4"/>
      <c r="F34" s="4"/>
      <c r="G34" s="4"/>
    </row>
    <row r="35" spans="1:7" x14ac:dyDescent="0.25">
      <c r="A35" s="1"/>
      <c r="B35" s="4"/>
      <c r="C35" s="4"/>
      <c r="D35" s="4"/>
      <c r="E35" s="4"/>
      <c r="F35" s="4"/>
      <c r="G35" s="4"/>
    </row>
    <row r="36" spans="1:7" x14ac:dyDescent="0.25">
      <c r="A36" s="1"/>
      <c r="B36" s="4"/>
      <c r="C36" s="4"/>
      <c r="D36" s="4"/>
      <c r="E36" s="4"/>
      <c r="F36" s="4"/>
      <c r="G36" s="4"/>
    </row>
    <row r="37" spans="1:7" x14ac:dyDescent="0.25">
      <c r="A37" s="1"/>
      <c r="B37" s="4"/>
      <c r="C37" s="4"/>
      <c r="D37" s="4"/>
      <c r="E37" s="4"/>
      <c r="F37" s="4"/>
      <c r="G37" s="4"/>
    </row>
    <row r="38" spans="1:7" x14ac:dyDescent="0.25">
      <c r="A38" s="1"/>
      <c r="B38" s="4"/>
      <c r="C38" s="4"/>
      <c r="D38" s="4"/>
      <c r="E38" s="4"/>
      <c r="F38" s="4"/>
      <c r="G38" s="4"/>
    </row>
    <row r="39" spans="1:7" x14ac:dyDescent="0.25">
      <c r="A39" s="1"/>
      <c r="B39" s="4"/>
      <c r="C39" s="4"/>
      <c r="D39" s="4"/>
      <c r="E39" s="4"/>
      <c r="F39" s="4"/>
      <c r="G39" s="4"/>
    </row>
    <row r="40" spans="1:7" x14ac:dyDescent="0.25">
      <c r="A40" s="1"/>
      <c r="B40" s="4"/>
      <c r="C40" s="4"/>
      <c r="D40" s="4"/>
      <c r="E40" s="4"/>
      <c r="F40" s="4"/>
      <c r="G40" s="4"/>
    </row>
    <row r="41" spans="1:7" x14ac:dyDescent="0.25">
      <c r="A41" s="1"/>
      <c r="B41" s="4"/>
      <c r="C41" s="4"/>
      <c r="D41" s="4"/>
      <c r="E41" s="4"/>
      <c r="F41" s="4"/>
      <c r="G41" s="4"/>
    </row>
    <row r="42" spans="1:7" x14ac:dyDescent="0.25">
      <c r="A42" s="1"/>
      <c r="B42" s="4"/>
      <c r="C42" s="4"/>
      <c r="D42" s="4"/>
      <c r="E42" s="4"/>
      <c r="F42" s="4"/>
      <c r="G42" s="4"/>
    </row>
    <row r="43" spans="1:7" x14ac:dyDescent="0.25">
      <c r="A43" s="1"/>
      <c r="B43" s="4"/>
      <c r="C43" s="4"/>
      <c r="D43" s="4"/>
      <c r="E43" s="4"/>
      <c r="F43" s="4"/>
      <c r="G43" s="4"/>
    </row>
    <row r="44" spans="1:7" x14ac:dyDescent="0.25">
      <c r="A44" s="1"/>
      <c r="B44" s="4"/>
      <c r="C44" s="4"/>
      <c r="D44" s="4"/>
      <c r="E44" s="4"/>
      <c r="F44" s="4"/>
      <c r="G44" s="4"/>
    </row>
    <row r="45" spans="1:7" x14ac:dyDescent="0.25">
      <c r="A45" s="1"/>
      <c r="B45" s="4"/>
      <c r="C45" s="4"/>
      <c r="D45" s="4"/>
      <c r="E45" s="4"/>
      <c r="F45" s="4"/>
      <c r="G45" s="4"/>
    </row>
    <row r="46" spans="1:7" x14ac:dyDescent="0.25">
      <c r="A46" s="1"/>
      <c r="B46" s="4"/>
      <c r="C46" s="4"/>
      <c r="D46" s="4"/>
      <c r="E46" s="4"/>
      <c r="F46" s="4"/>
      <c r="G46" s="4"/>
    </row>
    <row r="47" spans="1:7" x14ac:dyDescent="0.25">
      <c r="A47" s="1"/>
      <c r="B47" s="4"/>
      <c r="C47" s="4"/>
      <c r="D47" s="4"/>
      <c r="E47" s="4"/>
      <c r="F47" s="4"/>
      <c r="G47" s="4"/>
    </row>
    <row r="48" spans="1:7" x14ac:dyDescent="0.25">
      <c r="A48" s="1"/>
      <c r="B48" s="4"/>
      <c r="C48" s="4"/>
      <c r="D48" s="4"/>
      <c r="E48" s="4"/>
      <c r="F48" s="4"/>
      <c r="G48" s="4"/>
    </row>
    <row r="49" spans="1:7" x14ac:dyDescent="0.25">
      <c r="A49" s="1"/>
      <c r="B49" s="4"/>
      <c r="C49" s="4"/>
      <c r="D49" s="4"/>
      <c r="E49" s="4"/>
      <c r="F49" s="4"/>
      <c r="G49" s="4"/>
    </row>
    <row r="50" spans="1:7" x14ac:dyDescent="0.25">
      <c r="A50" s="1"/>
      <c r="B50" s="4"/>
      <c r="C50" s="4"/>
      <c r="D50" s="4"/>
      <c r="E50" s="4"/>
      <c r="F50" s="4"/>
      <c r="G50" s="4"/>
    </row>
  </sheetData>
  <dataValidations count="1">
    <dataValidation type="list" allowBlank="1" showInputMessage="1" showErrorMessage="1" sqref="D9 D24 D14 D19 D29" xr:uid="{09AEA81A-992C-4601-863D-BC858131E95F}">
      <formula1>codigo_bancos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36F29-8426-4476-8573-D6FEF68258BB}">
  <sheetPr codeName="Planilha3">
    <tabColor rgb="FFA87B05"/>
  </sheetPr>
  <dimension ref="A1:G50"/>
  <sheetViews>
    <sheetView showGridLines="0" workbookViewId="0"/>
  </sheetViews>
  <sheetFormatPr defaultColWidth="0" defaultRowHeight="15" x14ac:dyDescent="0.25"/>
  <cols>
    <col min="1" max="1" width="32.7109375" customWidth="1"/>
    <col min="2" max="2" width="9.140625" customWidth="1"/>
    <col min="3" max="5" width="32.5703125" customWidth="1"/>
    <col min="6" max="6" width="3.5703125" customWidth="1"/>
    <col min="7" max="7" width="15.140625" customWidth="1"/>
    <col min="8" max="16383" width="9.140625" hidden="1"/>
    <col min="16384" max="16384" width="9.140625" hidden="1" customWidth="1"/>
  </cols>
  <sheetData>
    <row r="1" spans="1:7" x14ac:dyDescent="0.25">
      <c r="A1" s="1"/>
      <c r="B1" s="4"/>
      <c r="C1" s="4"/>
      <c r="D1" s="4"/>
      <c r="E1" s="4"/>
      <c r="F1" s="4"/>
      <c r="G1" s="4"/>
    </row>
    <row r="2" spans="1:7" x14ac:dyDescent="0.25">
      <c r="A2" s="1"/>
      <c r="B2" s="4"/>
      <c r="C2" s="4"/>
      <c r="D2" s="4"/>
      <c r="E2" s="4"/>
      <c r="F2" s="4"/>
      <c r="G2" s="4"/>
    </row>
    <row r="3" spans="1:7" ht="15.75" thickBot="1" x14ac:dyDescent="0.3">
      <c r="A3" s="1"/>
      <c r="B3" s="4"/>
      <c r="C3" s="11" t="s">
        <v>79</v>
      </c>
      <c r="D3" s="12"/>
      <c r="E3" s="12"/>
      <c r="F3" s="4"/>
      <c r="G3" s="4"/>
    </row>
    <row r="4" spans="1:7" ht="15.75" thickTop="1" x14ac:dyDescent="0.25">
      <c r="A4" s="1"/>
      <c r="B4" s="4"/>
      <c r="C4" s="19" t="s">
        <v>80</v>
      </c>
      <c r="D4" s="20"/>
      <c r="E4" s="21"/>
      <c r="F4" s="4"/>
      <c r="G4" s="4"/>
    </row>
    <row r="5" spans="1:7" x14ac:dyDescent="0.25">
      <c r="A5" s="1"/>
      <c r="B5" s="4"/>
      <c r="C5" s="4"/>
      <c r="D5" s="4"/>
      <c r="E5" s="4"/>
      <c r="F5" s="4"/>
      <c r="G5" s="4"/>
    </row>
    <row r="6" spans="1:7" x14ac:dyDescent="0.25">
      <c r="A6" s="1"/>
      <c r="B6" s="4"/>
      <c r="C6" s="4"/>
      <c r="D6" s="4"/>
      <c r="E6" s="4"/>
      <c r="F6" s="4"/>
      <c r="G6" s="4"/>
    </row>
    <row r="7" spans="1:7" x14ac:dyDescent="0.25">
      <c r="A7" s="1"/>
      <c r="B7" s="4"/>
      <c r="C7" s="25" t="s">
        <v>84</v>
      </c>
      <c r="D7" s="24"/>
      <c r="E7" s="23"/>
      <c r="F7" s="4"/>
      <c r="G7" s="4"/>
    </row>
    <row r="8" spans="1:7" x14ac:dyDescent="0.25">
      <c r="A8" s="1"/>
      <c r="B8" s="4"/>
      <c r="C8" s="22" t="s">
        <v>83</v>
      </c>
      <c r="D8" s="22" t="s">
        <v>81</v>
      </c>
      <c r="E8" s="22" t="s">
        <v>82</v>
      </c>
      <c r="F8" s="4"/>
      <c r="G8" s="45"/>
    </row>
    <row r="9" spans="1:7" x14ac:dyDescent="0.25">
      <c r="A9" s="1"/>
      <c r="B9" s="4"/>
      <c r="C9" s="35">
        <v>46307</v>
      </c>
      <c r="D9" s="26" t="s">
        <v>88</v>
      </c>
      <c r="E9" s="37">
        <v>3500</v>
      </c>
      <c r="F9" s="4"/>
      <c r="G9" s="44">
        <f>SUM(tb_entradas[VALOR])</f>
        <v>17970</v>
      </c>
    </row>
    <row r="10" spans="1:7" x14ac:dyDescent="0.25">
      <c r="A10" s="1"/>
      <c r="B10" s="4"/>
      <c r="C10" s="35">
        <v>46308</v>
      </c>
      <c r="D10" s="26" t="s">
        <v>89</v>
      </c>
      <c r="E10" s="37">
        <v>5000</v>
      </c>
      <c r="F10" s="4"/>
      <c r="G10" s="45">
        <f>COUNTA(tb_entradas[VALOR])</f>
        <v>8</v>
      </c>
    </row>
    <row r="11" spans="1:7" x14ac:dyDescent="0.25">
      <c r="A11" s="1"/>
      <c r="B11" s="4"/>
      <c r="C11" s="35">
        <v>46310</v>
      </c>
      <c r="D11" s="26" t="s">
        <v>89</v>
      </c>
      <c r="E11" s="37">
        <v>270</v>
      </c>
      <c r="F11" s="4"/>
      <c r="G11" s="46">
        <f>MAX(tb_entradas[DATA])</f>
        <v>46318</v>
      </c>
    </row>
    <row r="12" spans="1:7" x14ac:dyDescent="0.25">
      <c r="A12" s="1"/>
      <c r="B12" s="4"/>
      <c r="C12" s="35">
        <v>46312</v>
      </c>
      <c r="D12" s="26" t="s">
        <v>88</v>
      </c>
      <c r="E12" s="37">
        <v>1420</v>
      </c>
      <c r="F12" s="4"/>
      <c r="G12" s="44">
        <f>MAX(tb_entradas[VALOR])</f>
        <v>5000</v>
      </c>
    </row>
    <row r="13" spans="1:7" x14ac:dyDescent="0.25">
      <c r="A13" s="2"/>
      <c r="B13" s="4"/>
      <c r="C13" s="35">
        <v>46315</v>
      </c>
      <c r="D13" s="26" t="s">
        <v>88</v>
      </c>
      <c r="E13" s="37">
        <v>790</v>
      </c>
      <c r="F13" s="4"/>
      <c r="G13" s="44">
        <f>MIN(tb_entradas[VALOR])</f>
        <v>270</v>
      </c>
    </row>
    <row r="14" spans="1:7" x14ac:dyDescent="0.25">
      <c r="A14" s="1"/>
      <c r="B14" s="4"/>
      <c r="C14" s="35">
        <v>46316</v>
      </c>
      <c r="D14" s="26" t="s">
        <v>90</v>
      </c>
      <c r="E14" s="37">
        <v>890</v>
      </c>
      <c r="F14" s="4"/>
      <c r="G14" s="44">
        <f>AVERAGE(tb_entradas[VALOR])</f>
        <v>2246.25</v>
      </c>
    </row>
    <row r="15" spans="1:7" x14ac:dyDescent="0.25">
      <c r="A15" s="1"/>
      <c r="B15" s="4"/>
      <c r="C15" s="35">
        <v>46317</v>
      </c>
      <c r="D15" s="26" t="s">
        <v>90</v>
      </c>
      <c r="E15" s="37">
        <v>4000</v>
      </c>
      <c r="F15" s="4"/>
      <c r="G15" s="50"/>
    </row>
    <row r="16" spans="1:7" x14ac:dyDescent="0.25">
      <c r="A16" s="1"/>
      <c r="B16" s="4"/>
      <c r="C16" s="35">
        <v>46318</v>
      </c>
      <c r="D16" s="26" t="s">
        <v>90</v>
      </c>
      <c r="E16" s="37">
        <v>2100</v>
      </c>
      <c r="F16" s="4"/>
      <c r="G16" s="50"/>
    </row>
    <row r="17" spans="1:7" x14ac:dyDescent="0.25">
      <c r="A17" s="1"/>
      <c r="B17" s="4"/>
      <c r="C17" s="35"/>
      <c r="D17" s="26"/>
      <c r="E17" s="37"/>
      <c r="F17" s="4"/>
      <c r="G17" s="50"/>
    </row>
    <row r="18" spans="1:7" x14ac:dyDescent="0.25">
      <c r="A18" s="1"/>
      <c r="B18" s="4"/>
      <c r="C18" s="35"/>
      <c r="D18" s="26"/>
      <c r="E18" s="37"/>
      <c r="F18" s="4"/>
      <c r="G18" s="50"/>
    </row>
    <row r="19" spans="1:7" x14ac:dyDescent="0.25">
      <c r="A19" s="1"/>
      <c r="B19" s="4"/>
      <c r="C19" s="35"/>
      <c r="D19" s="26"/>
      <c r="E19" s="37"/>
      <c r="F19" s="4"/>
      <c r="G19" s="50"/>
    </row>
    <row r="20" spans="1:7" x14ac:dyDescent="0.25">
      <c r="A20" s="1"/>
      <c r="B20" s="4"/>
      <c r="C20" s="35"/>
      <c r="D20" s="26"/>
      <c r="E20" s="37"/>
      <c r="F20" s="4"/>
      <c r="G20" s="50"/>
    </row>
    <row r="21" spans="1:7" x14ac:dyDescent="0.25">
      <c r="A21" s="1"/>
      <c r="B21" s="4"/>
      <c r="C21" s="36"/>
      <c r="D21" s="26"/>
      <c r="E21" s="37"/>
      <c r="F21" s="4"/>
      <c r="G21" s="4"/>
    </row>
    <row r="22" spans="1:7" x14ac:dyDescent="0.25">
      <c r="A22" s="1"/>
      <c r="B22" s="4"/>
      <c r="C22" s="36"/>
      <c r="D22" s="26"/>
      <c r="E22" s="37"/>
      <c r="F22" s="4"/>
      <c r="G22" s="4"/>
    </row>
    <row r="23" spans="1:7" x14ac:dyDescent="0.25">
      <c r="A23" s="1"/>
      <c r="B23" s="4"/>
      <c r="C23" s="36"/>
      <c r="D23" s="26"/>
      <c r="E23" s="37"/>
      <c r="F23" s="4"/>
      <c r="G23" s="4"/>
    </row>
    <row r="24" spans="1:7" x14ac:dyDescent="0.25">
      <c r="A24" s="1"/>
      <c r="B24" s="4"/>
      <c r="C24" s="36"/>
      <c r="D24" s="26"/>
      <c r="E24" s="37"/>
      <c r="F24" s="4"/>
      <c r="G24" s="4"/>
    </row>
    <row r="25" spans="1:7" x14ac:dyDescent="0.25">
      <c r="A25" s="47"/>
      <c r="B25" s="48"/>
      <c r="C25" s="36"/>
      <c r="D25" s="26"/>
      <c r="E25" s="37"/>
      <c r="F25" s="4"/>
      <c r="G25" s="4"/>
    </row>
    <row r="26" spans="1:7" x14ac:dyDescent="0.25">
      <c r="A26" s="1"/>
      <c r="B26" s="4"/>
      <c r="C26" s="36"/>
      <c r="D26" s="26"/>
      <c r="E26" s="37"/>
      <c r="F26" s="4"/>
      <c r="G26" s="4"/>
    </row>
    <row r="27" spans="1:7" x14ac:dyDescent="0.25">
      <c r="A27" s="3" t="s">
        <v>87</v>
      </c>
      <c r="B27" s="4"/>
      <c r="C27" s="36"/>
      <c r="D27" s="26"/>
      <c r="E27" s="37"/>
      <c r="F27" s="4"/>
      <c r="G27" s="4"/>
    </row>
    <row r="28" spans="1:7" x14ac:dyDescent="0.25">
      <c r="A28" s="1"/>
      <c r="B28" s="4"/>
      <c r="C28" s="36"/>
      <c r="D28" s="26"/>
      <c r="E28" s="37"/>
      <c r="F28" s="4"/>
      <c r="G28" s="4"/>
    </row>
    <row r="29" spans="1:7" x14ac:dyDescent="0.25">
      <c r="A29" s="1"/>
      <c r="B29" s="4"/>
      <c r="C29" s="36"/>
      <c r="D29" s="26"/>
      <c r="E29" s="37"/>
      <c r="F29" s="4"/>
      <c r="G29" s="4"/>
    </row>
    <row r="30" spans="1:7" x14ac:dyDescent="0.25">
      <c r="A30" s="1"/>
      <c r="B30" s="4"/>
      <c r="C30" s="36"/>
      <c r="D30" s="26"/>
      <c r="E30" s="37"/>
      <c r="F30" s="4"/>
      <c r="G30" s="4"/>
    </row>
    <row r="31" spans="1:7" x14ac:dyDescent="0.25">
      <c r="A31" s="1"/>
      <c r="B31" s="4"/>
      <c r="C31" s="36"/>
      <c r="D31" s="26"/>
      <c r="E31" s="37"/>
      <c r="F31" s="4"/>
      <c r="G31" s="4"/>
    </row>
    <row r="32" spans="1:7" x14ac:dyDescent="0.25">
      <c r="A32" s="1"/>
      <c r="B32" s="4"/>
      <c r="C32" s="4"/>
      <c r="D32" s="4"/>
      <c r="E32" s="4"/>
      <c r="F32" s="4"/>
      <c r="G32" s="4"/>
    </row>
    <row r="33" spans="1:7" x14ac:dyDescent="0.25">
      <c r="A33" s="1"/>
      <c r="B33" s="4"/>
      <c r="C33" s="4"/>
      <c r="D33" s="4"/>
      <c r="E33" s="4"/>
      <c r="F33" s="4"/>
      <c r="G33" s="4"/>
    </row>
    <row r="34" spans="1:7" x14ac:dyDescent="0.25">
      <c r="A34" s="1"/>
      <c r="B34" s="4"/>
      <c r="C34" s="4"/>
      <c r="D34" s="4"/>
      <c r="E34" s="4"/>
      <c r="F34" s="4"/>
      <c r="G34" s="4"/>
    </row>
    <row r="35" spans="1:7" x14ac:dyDescent="0.25">
      <c r="A35" s="1"/>
      <c r="B35" s="4"/>
      <c r="C35" s="4"/>
      <c r="D35" s="4"/>
      <c r="E35" s="4"/>
      <c r="F35" s="4"/>
      <c r="G35" s="4"/>
    </row>
    <row r="36" spans="1:7" x14ac:dyDescent="0.25">
      <c r="A36" s="1"/>
      <c r="B36" s="4"/>
      <c r="C36" s="4"/>
      <c r="D36" s="4"/>
      <c r="E36" s="4"/>
      <c r="F36" s="4"/>
      <c r="G36" s="4"/>
    </row>
    <row r="37" spans="1:7" x14ac:dyDescent="0.25">
      <c r="A37" s="1"/>
      <c r="B37" s="4"/>
      <c r="C37" s="4"/>
      <c r="D37" s="4"/>
      <c r="E37" s="4"/>
      <c r="F37" s="4"/>
      <c r="G37" s="4"/>
    </row>
    <row r="38" spans="1:7" x14ac:dyDescent="0.25">
      <c r="A38" s="1"/>
      <c r="B38" s="4"/>
      <c r="C38" s="4"/>
      <c r="D38" s="4"/>
      <c r="E38" s="4"/>
      <c r="F38" s="4"/>
      <c r="G38" s="4"/>
    </row>
    <row r="39" spans="1:7" x14ac:dyDescent="0.25">
      <c r="A39" s="1"/>
      <c r="B39" s="4"/>
      <c r="C39" s="4"/>
      <c r="D39" s="4"/>
      <c r="E39" s="4"/>
      <c r="F39" s="4"/>
      <c r="G39" s="4"/>
    </row>
    <row r="40" spans="1:7" x14ac:dyDescent="0.25">
      <c r="A40" s="1"/>
      <c r="B40" s="4"/>
      <c r="C40" s="4"/>
      <c r="D40" s="4"/>
      <c r="E40" s="4"/>
      <c r="F40" s="4"/>
      <c r="G40" s="4"/>
    </row>
    <row r="41" spans="1:7" x14ac:dyDescent="0.25">
      <c r="A41" s="1"/>
      <c r="B41" s="4"/>
      <c r="C41" s="4"/>
      <c r="D41" s="4"/>
      <c r="E41" s="4"/>
      <c r="F41" s="4"/>
      <c r="G41" s="4"/>
    </row>
    <row r="42" spans="1:7" x14ac:dyDescent="0.25">
      <c r="A42" s="1"/>
      <c r="B42" s="4"/>
      <c r="C42" s="4"/>
      <c r="D42" s="4"/>
      <c r="E42" s="4"/>
      <c r="F42" s="4"/>
      <c r="G42" s="4"/>
    </row>
    <row r="43" spans="1:7" x14ac:dyDescent="0.25">
      <c r="A43" s="1"/>
      <c r="B43" s="4"/>
      <c r="C43" s="4"/>
      <c r="D43" s="4"/>
      <c r="E43" s="4"/>
      <c r="F43" s="4"/>
      <c r="G43" s="4"/>
    </row>
    <row r="44" spans="1:7" x14ac:dyDescent="0.25">
      <c r="A44" s="1"/>
      <c r="B44" s="4"/>
      <c r="C44" s="4"/>
      <c r="D44" s="4"/>
      <c r="E44" s="4"/>
      <c r="F44" s="4"/>
      <c r="G44" s="4"/>
    </row>
    <row r="45" spans="1:7" x14ac:dyDescent="0.25">
      <c r="A45" s="1"/>
      <c r="B45" s="4"/>
      <c r="C45" s="4"/>
      <c r="D45" s="4"/>
      <c r="E45" s="4"/>
      <c r="F45" s="4"/>
      <c r="G45" s="4"/>
    </row>
    <row r="46" spans="1:7" x14ac:dyDescent="0.25">
      <c r="A46" s="1"/>
      <c r="B46" s="4"/>
      <c r="C46" s="4"/>
      <c r="D46" s="4"/>
      <c r="E46" s="4"/>
      <c r="F46" s="4"/>
      <c r="G46" s="4"/>
    </row>
    <row r="47" spans="1:7" x14ac:dyDescent="0.25">
      <c r="A47" s="1"/>
      <c r="B47" s="4"/>
      <c r="C47" s="4"/>
      <c r="D47" s="4"/>
      <c r="E47" s="4"/>
      <c r="F47" s="4"/>
      <c r="G47" s="4"/>
    </row>
    <row r="48" spans="1:7" x14ac:dyDescent="0.25">
      <c r="A48" s="1"/>
      <c r="B48" s="4"/>
      <c r="C48" s="4"/>
      <c r="D48" s="4"/>
      <c r="E48" s="4"/>
      <c r="F48" s="4"/>
      <c r="G48" s="4"/>
    </row>
    <row r="49" spans="1:7" x14ac:dyDescent="0.25">
      <c r="A49" s="1"/>
      <c r="B49" s="4"/>
      <c r="C49" s="4"/>
      <c r="D49" s="4"/>
      <c r="E49" s="4"/>
      <c r="F49" s="4"/>
      <c r="G49" s="4"/>
    </row>
    <row r="50" spans="1:7" x14ac:dyDescent="0.25">
      <c r="A50" s="1"/>
      <c r="B50" s="4"/>
      <c r="C50" s="4"/>
      <c r="D50" s="4"/>
      <c r="E50" s="4"/>
      <c r="F50" s="4"/>
      <c r="G50" s="4"/>
    </row>
  </sheetData>
  <dataValidations count="1">
    <dataValidation type="list" allowBlank="1" showInputMessage="1" showErrorMessage="1" sqref="D9:D31" xr:uid="{B1AFF6B6-4FEC-4ABF-9ACA-3813903BBDC1}">
      <formula1>"CNPJ,FREELANCE,HOLERITE"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DF08-04CA-4732-A596-204DA3674278}">
  <sheetPr>
    <tabColor rgb="FFEFB810"/>
  </sheetPr>
  <dimension ref="A1:P44"/>
  <sheetViews>
    <sheetView showGridLines="0" tabSelected="1" topLeftCell="A18" workbookViewId="0">
      <selection activeCell="N26" sqref="N26"/>
    </sheetView>
  </sheetViews>
  <sheetFormatPr defaultColWidth="0" defaultRowHeight="15" x14ac:dyDescent="0.25"/>
  <cols>
    <col min="1" max="1" width="21.85546875" customWidth="1"/>
    <col min="2" max="2" width="2.28515625" customWidth="1"/>
    <col min="3" max="3" width="18.42578125" bestFit="1" customWidth="1"/>
    <col min="4" max="5" width="25.5703125" bestFit="1" customWidth="1"/>
    <col min="6" max="14" width="9.140625" customWidth="1"/>
    <col min="15" max="16" width="9.140625" hidden="1" customWidth="1"/>
    <col min="17" max="16384" width="9.140625" hidden="1"/>
  </cols>
  <sheetData>
    <row r="1" spans="1:16" x14ac:dyDescent="0.25">
      <c r="A1" s="1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15.75" customHeight="1" x14ac:dyDescent="0.35">
      <c r="A2" s="4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x14ac:dyDescent="0.25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25">
      <c r="A4" s="1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x14ac:dyDescent="0.25">
      <c r="A5" s="1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5">
      <c r="A7" s="1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25">
      <c r="A8" s="1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25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x14ac:dyDescent="0.25">
      <c r="A10" s="4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x14ac:dyDescent="0.25">
      <c r="A11" s="1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x14ac:dyDescent="0.25">
      <c r="A12" s="1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x14ac:dyDescent="0.25">
      <c r="A13" s="1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x14ac:dyDescent="0.25">
      <c r="A14" s="1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x14ac:dyDescent="0.25">
      <c r="A15" s="1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x14ac:dyDescent="0.25">
      <c r="A16" s="1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25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x14ac:dyDescent="0.25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25">
      <c r="A19" s="1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x14ac:dyDescent="0.25">
      <c r="A20" s="1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x14ac:dyDescent="0.25">
      <c r="A21" s="1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x14ac:dyDescent="0.25">
      <c r="A22" s="1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x14ac:dyDescent="0.25">
      <c r="A23" s="1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x14ac:dyDescent="0.25">
      <c r="A24" s="1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x14ac:dyDescent="0.25">
      <c r="A25" s="1"/>
      <c r="B25" s="4"/>
      <c r="C25" s="4" t="s">
        <v>91</v>
      </c>
      <c r="D25" s="4" t="s">
        <v>93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x14ac:dyDescent="0.25">
      <c r="A26" s="1"/>
      <c r="B26" s="4"/>
      <c r="C26" s="39" t="s">
        <v>88</v>
      </c>
      <c r="D26" s="40">
        <v>3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x14ac:dyDescent="0.25">
      <c r="A27" s="43"/>
      <c r="B27" s="4"/>
      <c r="C27" s="39" t="s">
        <v>89</v>
      </c>
      <c r="D27" s="40">
        <v>2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x14ac:dyDescent="0.25">
      <c r="A28" s="1"/>
      <c r="B28" s="4"/>
      <c r="C28" s="39" t="s">
        <v>90</v>
      </c>
      <c r="D28" s="40">
        <v>2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x14ac:dyDescent="0.25">
      <c r="A29" s="1"/>
      <c r="B29" s="4"/>
      <c r="C29" s="39" t="s">
        <v>92</v>
      </c>
      <c r="D29" s="40">
        <v>7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x14ac:dyDescent="0.25">
      <c r="A30" s="1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x14ac:dyDescent="0.25">
      <c r="A31" s="1"/>
      <c r="B31" s="4"/>
      <c r="C31" s="4" t="str">
        <f>_xlfn.XLOOKUP(MAX(D26:D28),D26:D28,C26:C28)</f>
        <v>CNPJ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x14ac:dyDescent="0.25">
      <c r="A32" s="1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x14ac:dyDescent="0.25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x14ac:dyDescent="0.25">
      <c r="A34" s="3" t="s">
        <v>94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x14ac:dyDescent="0.25">
      <c r="A35" s="1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x14ac:dyDescent="0.25">
      <c r="A36" s="1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x14ac:dyDescent="0.25">
      <c r="A37" s="1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x14ac:dyDescent="0.25">
      <c r="A38" s="1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x14ac:dyDescent="0.25">
      <c r="A39" s="1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x14ac:dyDescent="0.25">
      <c r="A40" s="1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x14ac:dyDescent="0.25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x14ac:dyDescent="0.25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x14ac:dyDescent="0.25">
      <c r="A43" s="1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x14ac:dyDescent="0.25">
      <c r="A44" s="1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46C27-88A5-45F3-A9B9-90BE09C3945A}">
  <sheetPr codeName="Planilha4">
    <tabColor rgb="FFC00000"/>
  </sheetPr>
  <dimension ref="A1:A51"/>
  <sheetViews>
    <sheetView topLeftCell="A2" workbookViewId="0">
      <selection activeCell="A2" sqref="A2:A51"/>
    </sheetView>
  </sheetViews>
  <sheetFormatPr defaultRowHeight="15" x14ac:dyDescent="0.25"/>
  <cols>
    <col min="1" max="1" width="39" bestFit="1" customWidth="1"/>
  </cols>
  <sheetData>
    <row r="1" spans="1:1" x14ac:dyDescent="0.25">
      <c r="A1" t="s">
        <v>22</v>
      </c>
    </row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26</v>
      </c>
    </row>
    <row r="6" spans="1:1" x14ac:dyDescent="0.25">
      <c r="A6" t="s">
        <v>27</v>
      </c>
    </row>
    <row r="7" spans="1:1" x14ac:dyDescent="0.25">
      <c r="A7" t="s">
        <v>28</v>
      </c>
    </row>
    <row r="8" spans="1:1" x14ac:dyDescent="0.25">
      <c r="A8" t="s">
        <v>29</v>
      </c>
    </row>
    <row r="9" spans="1:1" x14ac:dyDescent="0.25">
      <c r="A9" t="s">
        <v>30</v>
      </c>
    </row>
    <row r="10" spans="1:1" x14ac:dyDescent="0.25">
      <c r="A10" t="s">
        <v>31</v>
      </c>
    </row>
    <row r="11" spans="1:1" x14ac:dyDescent="0.25">
      <c r="A11" t="s">
        <v>32</v>
      </c>
    </row>
    <row r="12" spans="1:1" x14ac:dyDescent="0.25">
      <c r="A12" t="s">
        <v>33</v>
      </c>
    </row>
    <row r="13" spans="1:1" x14ac:dyDescent="0.25">
      <c r="A13" t="s">
        <v>34</v>
      </c>
    </row>
    <row r="14" spans="1:1" x14ac:dyDescent="0.25">
      <c r="A14" t="s">
        <v>35</v>
      </c>
    </row>
    <row r="15" spans="1:1" x14ac:dyDescent="0.25">
      <c r="A15" t="s">
        <v>36</v>
      </c>
    </row>
    <row r="16" spans="1:1" x14ac:dyDescent="0.25">
      <c r="A16" t="s">
        <v>37</v>
      </c>
    </row>
    <row r="17" spans="1:1" x14ac:dyDescent="0.25">
      <c r="A17" t="s">
        <v>38</v>
      </c>
    </row>
    <row r="18" spans="1:1" x14ac:dyDescent="0.25">
      <c r="A18" t="s">
        <v>39</v>
      </c>
    </row>
    <row r="19" spans="1:1" x14ac:dyDescent="0.25">
      <c r="A19" t="s">
        <v>40</v>
      </c>
    </row>
    <row r="20" spans="1:1" x14ac:dyDescent="0.25">
      <c r="A20" t="s">
        <v>41</v>
      </c>
    </row>
    <row r="21" spans="1:1" x14ac:dyDescent="0.25">
      <c r="A21" t="s">
        <v>42</v>
      </c>
    </row>
    <row r="22" spans="1:1" x14ac:dyDescent="0.25">
      <c r="A22" t="s">
        <v>43</v>
      </c>
    </row>
    <row r="23" spans="1:1" x14ac:dyDescent="0.25">
      <c r="A23" t="s">
        <v>44</v>
      </c>
    </row>
    <row r="24" spans="1:1" x14ac:dyDescent="0.25">
      <c r="A24" t="s">
        <v>45</v>
      </c>
    </row>
    <row r="25" spans="1:1" x14ac:dyDescent="0.25">
      <c r="A25" t="s">
        <v>46</v>
      </c>
    </row>
    <row r="26" spans="1:1" x14ac:dyDescent="0.25">
      <c r="A26" t="s">
        <v>47</v>
      </c>
    </row>
    <row r="27" spans="1:1" x14ac:dyDescent="0.25">
      <c r="A27" t="s">
        <v>48</v>
      </c>
    </row>
    <row r="28" spans="1:1" x14ac:dyDescent="0.25">
      <c r="A28" t="s">
        <v>49</v>
      </c>
    </row>
    <row r="29" spans="1:1" x14ac:dyDescent="0.25">
      <c r="A29" t="s">
        <v>50</v>
      </c>
    </row>
    <row r="30" spans="1:1" x14ac:dyDescent="0.25">
      <c r="A30" t="s">
        <v>51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  <row r="36" spans="1:1" x14ac:dyDescent="0.25">
      <c r="A36" t="s">
        <v>57</v>
      </c>
    </row>
    <row r="37" spans="1:1" x14ac:dyDescent="0.25">
      <c r="A37" t="s">
        <v>58</v>
      </c>
    </row>
    <row r="38" spans="1:1" x14ac:dyDescent="0.25">
      <c r="A38" t="s">
        <v>59</v>
      </c>
    </row>
    <row r="39" spans="1:1" x14ac:dyDescent="0.25">
      <c r="A39" t="s">
        <v>60</v>
      </c>
    </row>
    <row r="40" spans="1:1" x14ac:dyDescent="0.25">
      <c r="A40" t="s">
        <v>61</v>
      </c>
    </row>
    <row r="41" spans="1:1" x14ac:dyDescent="0.25">
      <c r="A41" t="s">
        <v>62</v>
      </c>
    </row>
    <row r="42" spans="1:1" x14ac:dyDescent="0.25">
      <c r="A42" t="s">
        <v>63</v>
      </c>
    </row>
    <row r="43" spans="1:1" x14ac:dyDescent="0.25">
      <c r="A43" t="s">
        <v>64</v>
      </c>
    </row>
    <row r="44" spans="1:1" x14ac:dyDescent="0.25">
      <c r="A44" t="s">
        <v>65</v>
      </c>
    </row>
    <row r="45" spans="1:1" x14ac:dyDescent="0.25">
      <c r="A45" t="s">
        <v>66</v>
      </c>
    </row>
    <row r="46" spans="1:1" x14ac:dyDescent="0.25">
      <c r="A46" t="s">
        <v>67</v>
      </c>
    </row>
    <row r="47" spans="1:1" x14ac:dyDescent="0.25">
      <c r="A47" t="s">
        <v>68</v>
      </c>
    </row>
    <row r="48" spans="1:1" x14ac:dyDescent="0.25">
      <c r="A48" t="s">
        <v>69</v>
      </c>
    </row>
    <row r="49" spans="1:1" x14ac:dyDescent="0.25">
      <c r="A49" t="s">
        <v>70</v>
      </c>
    </row>
    <row r="50" spans="1:1" x14ac:dyDescent="0.25">
      <c r="A50" t="s">
        <v>71</v>
      </c>
    </row>
    <row r="51" spans="1:1" x14ac:dyDescent="0.25">
      <c r="A51" t="s">
        <v>72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A04EA0-821F-4673-B759-CAC56F333A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3</vt:i4>
      </vt:variant>
    </vt:vector>
  </HeadingPairs>
  <TitlesOfParts>
    <vt:vector size="8" baseType="lpstr">
      <vt:lpstr>Titular</vt:lpstr>
      <vt:lpstr>Informes</vt:lpstr>
      <vt:lpstr>Notas</vt:lpstr>
      <vt:lpstr>DASHBOARD</vt:lpstr>
      <vt:lpstr>Bancos</vt:lpstr>
      <vt:lpstr>Informes!codigo_bancos</vt:lpstr>
      <vt:lpstr>codigo_bancos</vt:lpstr>
      <vt:lpstr>Entradas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Bortoluci</dc:creator>
  <cp:lastModifiedBy>Vinicius Bortoluci</cp:lastModifiedBy>
  <dcterms:created xsi:type="dcterms:W3CDTF">2026-10-12T19:57:28Z</dcterms:created>
  <dcterms:modified xsi:type="dcterms:W3CDTF">2026-10-14T02:26:54Z</dcterms:modified>
</cp:coreProperties>
</file>